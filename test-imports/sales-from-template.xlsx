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Products" state="veryHidden" r:id="rId5"/>
  </sheets>
  <calcPr calcId="171027" fullCalcOnLoad="1"/>
</workbook>
</file>

<file path=xl/sharedStrings.xml><?xml version="1.0" encoding="utf-8"?>
<sst xmlns="http://schemas.openxmlformats.org/spreadsheetml/2006/main" count="42" uniqueCount="32">
  <si>
    <t>ERICAHLICIOUS BREW AND BAKE - DAILY SALES TRANSACTION</t>
  </si>
  <si>
    <t>Date: July 20, 2026</t>
  </si>
  <si>
    <t>Transaction ID</t>
  </si>
  <si>
    <t>Date</t>
  </si>
  <si>
    <t>Time</t>
  </si>
  <si>
    <t>Menu Item</t>
  </si>
  <si>
    <t>Category</t>
  </si>
  <si>
    <t>Qty</t>
  </si>
  <si>
    <t>Unit Price (₱)</t>
  </si>
  <si>
    <t>Total (₱)</t>
  </si>
  <si>
    <t>7/20/2026</t>
  </si>
  <si>
    <t>8:15 AM</t>
  </si>
  <si>
    <t>Spanish Latte</t>
  </si>
  <si>
    <t>9:10 AM</t>
  </si>
  <si>
    <t>Cheesy Bacon Fries</t>
  </si>
  <si>
    <t>10:05 AM</t>
  </si>
  <si>
    <t>Sans Rival</t>
  </si>
  <si>
    <t>11:40 AM</t>
  </si>
  <si>
    <t>Flavored Americano</t>
  </si>
  <si>
    <t>TOTAL</t>
  </si>
  <si>
    <t>Product</t>
  </si>
  <si>
    <t>Price</t>
  </si>
  <si>
    <t>Coffee / Iced Drinks</t>
  </si>
  <si>
    <t>Chocolate Java Chip Frappe</t>
  </si>
  <si>
    <t>Pica-Pica / Snacks</t>
  </si>
  <si>
    <t>Red Velvet Cake</t>
  </si>
  <si>
    <t>Cakes</t>
  </si>
  <si>
    <t>Sweet Drinks</t>
  </si>
  <si>
    <t>Chicken Alfredo Pasta</t>
  </si>
  <si>
    <t>Pasta</t>
  </si>
  <si>
    <t>Filipino Breakfast Danggit</t>
  </si>
  <si>
    <t>Rice 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</si>
</sst>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1" customWidth="1"/>
    <col min="4" max="4" width="26" customWidth="1"/>
    <col min="5" max="5" width="16" customWidth="1"/>
    <col min="6" max="6" width="8" customWidth="1"/>
    <col min="7" max="7" width="15" customWidth="1"/>
    <col min="8" max="8" width="14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>
        <f>IF($D4="","","TXN-"&amp;TEXT(ROW()-3,"0000"))</f>
      </c>
      <c r="B4" t="s">
        <v>10</v>
      </c>
      <c r="C4" t="s">
        <v>11</v>
      </c>
      <c r="D4" t="s">
        <v>12</v>
      </c>
      <c r="E4">
        <f>IF($D4="","",IFERROR(VLOOKUP($D4,Products!$A:$C,2,FALSE),""))</f>
      </c>
      <c r="F4" s="4">
        <v>7</v>
      </c>
      <c r="G4" s="5">
        <f>IF($D4="","",IFERROR(VLOOKUP($D4,Products!$A:$C,3,FALSE),""))</f>
      </c>
      <c r="H4" s="5">
        <f>IF(OR($D4="",$F4=""),"",$F4*$G4)</f>
      </c>
    </row>
    <row r="5" spans="1:8" x14ac:dyDescent="0.25">
      <c r="A5">
        <f>IF($D5="","","TXN-"&amp;TEXT(ROW()-3,"0000"))</f>
      </c>
      <c r="B5" t="s">
        <v>10</v>
      </c>
      <c r="C5" t="s">
        <v>13</v>
      </c>
      <c r="D5" t="s">
        <v>14</v>
      </c>
      <c r="E5">
        <f>IF($D5="","",IFERROR(VLOOKUP($D5,Products!$A:$C,2,FALSE),""))</f>
      </c>
      <c r="F5" s="4">
        <v>4</v>
      </c>
      <c r="G5" s="5">
        <f>IF($D5="","",IFERROR(VLOOKUP($D5,Products!$A:$C,3,FALSE),""))</f>
      </c>
      <c r="H5" s="5">
        <f>IF(OR($D5="",$F5=""),"",$F5*$G5)</f>
      </c>
    </row>
    <row r="6" spans="1:8" x14ac:dyDescent="0.25">
      <c r="A6">
        <f>IF($D6="","","TXN-"&amp;TEXT(ROW()-3,"0000"))</f>
      </c>
      <c r="B6" t="s">
        <v>10</v>
      </c>
      <c r="C6" t="s">
        <v>15</v>
      </c>
      <c r="D6" t="s">
        <v>16</v>
      </c>
      <c r="E6">
        <f>IF($D6="","",IFERROR(VLOOKUP($D6,Products!$A:$C,2,FALSE),""))</f>
      </c>
      <c r="F6" s="4">
        <v>2</v>
      </c>
      <c r="G6" s="5">
        <f>IF($D6="","",IFERROR(VLOOKUP($D6,Products!$A:$C,3,FALSE),""))</f>
      </c>
      <c r="H6" s="5">
        <f>IF(OR($D6="",$F6=""),"",$F6*$G6)</f>
      </c>
    </row>
    <row r="7" spans="1:8" x14ac:dyDescent="0.25">
      <c r="A7">
        <f>IF($D7="","","TXN-"&amp;TEXT(ROW()-3,"0000"))</f>
      </c>
      <c r="B7" t="s">
        <v>10</v>
      </c>
      <c r="C7" t="s">
        <v>17</v>
      </c>
      <c r="D7" t="s">
        <v>18</v>
      </c>
      <c r="E7">
        <f>IF($D7="","",IFERROR(VLOOKUP($D7,Products!$A:$C,2,FALSE),""))</f>
      </c>
      <c r="F7" s="4">
        <v>6</v>
      </c>
      <c r="G7" s="5">
        <f>IF($D7="","",IFERROR(VLOOKUP($D7,Products!$A:$C,3,FALSE),""))</f>
      </c>
      <c r="H7" s="5">
        <f>IF(OR($D7="",$F7=""),"",$F7*$G7)</f>
      </c>
    </row>
    <row r="8" spans="1:8" x14ac:dyDescent="0.25">
      <c r="A8">
        <f>IF($D8="","","TXN-"&amp;TEXT(ROW()-3,"0000"))</f>
      </c>
      <c r="E8">
        <f>IF($D8="","",IFERROR(VLOOKUP($D8,Products!$A:$C,2,FALSE),""))</f>
      </c>
      <c r="F8" s="4"/>
      <c r="G8" s="5">
        <f>IF($D8="","",IFERROR(VLOOKUP($D8,Products!$A:$C,3,FALSE),""))</f>
      </c>
      <c r="H8" s="5">
        <f>IF(OR($D8="",$F8=""),"",$F8*$G8)</f>
      </c>
    </row>
    <row r="9" spans="1:8" x14ac:dyDescent="0.25">
      <c r="A9">
        <f>IF($D9="","","TXN-"&amp;TEXT(ROW()-3,"0000"))</f>
      </c>
      <c r="E9">
        <f>IF($D9="","",IFERROR(VLOOKUP($D9,Products!$A:$C,2,FALSE),""))</f>
      </c>
      <c r="F9" s="4"/>
      <c r="G9" s="5">
        <f>IF($D9="","",IFERROR(VLOOKUP($D9,Products!$A:$C,3,FALSE),""))</f>
      </c>
      <c r="H9" s="5">
        <f>IF(OR($D9="",$F9=""),"",$F9*$G9)</f>
      </c>
    </row>
    <row r="10" spans="1:8" x14ac:dyDescent="0.25">
      <c r="A10">
        <f>IF($D10="","","TXN-"&amp;TEXT(ROW()-3,"0000"))</f>
      </c>
      <c r="E10">
        <f>IF($D10="","",IFERROR(VLOOKUP($D10,Products!$A:$C,2,FALSE),""))</f>
      </c>
      <c r="F10" s="4"/>
      <c r="G10" s="5">
        <f>IF($D10="","",IFERROR(VLOOKUP($D10,Products!$A:$C,3,FALSE),""))</f>
      </c>
      <c r="H10" s="5">
        <f>IF(OR($D10="",$F10=""),"",$F10*$G10)</f>
      </c>
    </row>
    <row r="11" spans="1:8" x14ac:dyDescent="0.25">
      <c r="A11">
        <f>IF($D11="","","TXN-"&amp;TEXT(ROW()-3,"0000"))</f>
      </c>
      <c r="E11">
        <f>IF($D11="","",IFERROR(VLOOKUP($D11,Products!$A:$C,2,FALSE),""))</f>
      </c>
      <c r="F11" s="4"/>
      <c r="G11" s="5">
        <f>IF($D11="","",IFERROR(VLOOKUP($D11,Products!$A:$C,3,FALSE),""))</f>
      </c>
      <c r="H11" s="5">
        <f>IF(OR($D11="",$F11=""),"",$F11*$G11)</f>
      </c>
    </row>
    <row r="12" spans="1:8" x14ac:dyDescent="0.25">
      <c r="A12">
        <f>IF($D12="","","TXN-"&amp;TEXT(ROW()-3,"0000"))</f>
      </c>
      <c r="E12">
        <f>IF($D12="","",IFERROR(VLOOKUP($D12,Products!$A:$C,2,FALSE),""))</f>
      </c>
      <c r="F12" s="4"/>
      <c r="G12" s="5">
        <f>IF($D12="","",IFERROR(VLOOKUP($D12,Products!$A:$C,3,FALSE),""))</f>
      </c>
      <c r="H12" s="5">
        <f>IF(OR($D12="",$F12=""),"",$F12*$G12)</f>
      </c>
    </row>
    <row r="13" spans="1:8" x14ac:dyDescent="0.25">
      <c r="A13">
        <f>IF($D13="","","TXN-"&amp;TEXT(ROW()-3,"0000"))</f>
      </c>
      <c r="E13">
        <f>IF($D13="","",IFERROR(VLOOKUP($D13,Products!$A:$C,2,FALSE),""))</f>
      </c>
      <c r="F13" s="4"/>
      <c r="G13" s="5">
        <f>IF($D13="","",IFERROR(VLOOKUP($D13,Products!$A:$C,3,FALSE),""))</f>
      </c>
      <c r="H13" s="5">
        <f>IF(OR($D13="",$F13=""),"",$F13*$G13)</f>
      </c>
    </row>
    <row r="14" spans="1:8" x14ac:dyDescent="0.25">
      <c r="A14">
        <f>IF($D14="","","TXN-"&amp;TEXT(ROW()-3,"0000"))</f>
      </c>
      <c r="E14">
        <f>IF($D14="","",IFERROR(VLOOKUP($D14,Products!$A:$C,2,FALSE),""))</f>
      </c>
      <c r="F14" s="4"/>
      <c r="G14" s="5">
        <f>IF($D14="","",IFERROR(VLOOKUP($D14,Products!$A:$C,3,FALSE),""))</f>
      </c>
      <c r="H14" s="5">
        <f>IF(OR($D14="",$F14=""),"",$F14*$G14)</f>
      </c>
    </row>
    <row r="15" spans="1:8" x14ac:dyDescent="0.25">
      <c r="A15">
        <f>IF($D15="","","TXN-"&amp;TEXT(ROW()-3,"0000"))</f>
      </c>
      <c r="E15">
        <f>IF($D15="","",IFERROR(VLOOKUP($D15,Products!$A:$C,2,FALSE),""))</f>
      </c>
      <c r="F15" s="4"/>
      <c r="G15" s="5">
        <f>IF($D15="","",IFERROR(VLOOKUP($D15,Products!$A:$C,3,FALSE),""))</f>
      </c>
      <c r="H15" s="5">
        <f>IF(OR($D15="",$F15=""),"",$F15*$G15)</f>
      </c>
    </row>
    <row r="16" spans="1:8" x14ac:dyDescent="0.25">
      <c r="A16">
        <f>IF($D16="","","TXN-"&amp;TEXT(ROW()-3,"0000"))</f>
      </c>
      <c r="E16">
        <f>IF($D16="","",IFERROR(VLOOKUP($D16,Products!$A:$C,2,FALSE),""))</f>
      </c>
      <c r="F16" s="4"/>
      <c r="G16" s="5">
        <f>IF($D16="","",IFERROR(VLOOKUP($D16,Products!$A:$C,3,FALSE),""))</f>
      </c>
      <c r="H16" s="5">
        <f>IF(OR($D16="",$F16=""),"",$F16*$G16)</f>
      </c>
    </row>
    <row r="17" spans="1:8" x14ac:dyDescent="0.25">
      <c r="A17">
        <f>IF($D17="","","TXN-"&amp;TEXT(ROW()-3,"0000"))</f>
      </c>
      <c r="E17">
        <f>IF($D17="","",IFERROR(VLOOKUP($D17,Products!$A:$C,2,FALSE),""))</f>
      </c>
      <c r="F17" s="4"/>
      <c r="G17" s="5">
        <f>IF($D17="","",IFERROR(VLOOKUP($D17,Products!$A:$C,3,FALSE),""))</f>
      </c>
      <c r="H17" s="5">
        <f>IF(OR($D17="",$F17=""),"",$F17*$G17)</f>
      </c>
    </row>
    <row r="18" spans="1:8" x14ac:dyDescent="0.25">
      <c r="A18">
        <f>IF($D18="","","TXN-"&amp;TEXT(ROW()-3,"0000"))</f>
      </c>
      <c r="E18">
        <f>IF($D18="","",IFERROR(VLOOKUP($D18,Products!$A:$C,2,FALSE),""))</f>
      </c>
      <c r="F18" s="4"/>
      <c r="G18" s="5">
        <f>IF($D18="","",IFERROR(VLOOKUP($D18,Products!$A:$C,3,FALSE),""))</f>
      </c>
      <c r="H18" s="5">
        <f>IF(OR($D18="",$F18=""),"",$F18*$G18)</f>
      </c>
    </row>
    <row r="19" spans="1:8" x14ac:dyDescent="0.25">
      <c r="A19">
        <f>IF($D19="","","TXN-"&amp;TEXT(ROW()-3,"0000"))</f>
      </c>
      <c r="E19">
        <f>IF($D19="","",IFERROR(VLOOKUP($D19,Products!$A:$C,2,FALSE),""))</f>
      </c>
      <c r="F19" s="4"/>
      <c r="G19" s="5">
        <f>IF($D19="","",IFERROR(VLOOKUP($D19,Products!$A:$C,3,FALSE),""))</f>
      </c>
      <c r="H19" s="5">
        <f>IF(OR($D19="",$F19=""),"",$F19*$G19)</f>
      </c>
    </row>
    <row r="20" spans="1:8" x14ac:dyDescent="0.25">
      <c r="A20">
        <f>IF($D20="","","TXN-"&amp;TEXT(ROW()-3,"0000"))</f>
      </c>
      <c r="E20">
        <f>IF($D20="","",IFERROR(VLOOKUP($D20,Products!$A:$C,2,FALSE),""))</f>
      </c>
      <c r="F20" s="4"/>
      <c r="G20" s="5">
        <f>IF($D20="","",IFERROR(VLOOKUP($D20,Products!$A:$C,3,FALSE),""))</f>
      </c>
      <c r="H20" s="5">
        <f>IF(OR($D20="",$F20=""),"",$F20*$G20)</f>
      </c>
    </row>
    <row r="21" spans="1:8" x14ac:dyDescent="0.25">
      <c r="A21">
        <f>IF($D21="","","TXN-"&amp;TEXT(ROW()-3,"0000"))</f>
      </c>
      <c r="E21">
        <f>IF($D21="","",IFERROR(VLOOKUP($D21,Products!$A:$C,2,FALSE),""))</f>
      </c>
      <c r="F21" s="4"/>
      <c r="G21" s="5">
        <f>IF($D21="","",IFERROR(VLOOKUP($D21,Products!$A:$C,3,FALSE),""))</f>
      </c>
      <c r="H21" s="5">
        <f>IF(OR($D21="",$F21=""),"",$F21*$G21)</f>
      </c>
    </row>
    <row r="22" spans="1:8" x14ac:dyDescent="0.25">
      <c r="A22">
        <f>IF($D22="","","TXN-"&amp;TEXT(ROW()-3,"0000"))</f>
      </c>
      <c r="E22">
        <f>IF($D22="","",IFERROR(VLOOKUP($D22,Products!$A:$C,2,FALSE),""))</f>
      </c>
      <c r="F22" s="4"/>
      <c r="G22" s="5">
        <f>IF($D22="","",IFERROR(VLOOKUP($D22,Products!$A:$C,3,FALSE),""))</f>
      </c>
      <c r="H22" s="5">
        <f>IF(OR($D22="",$F22=""),"",$F22*$G22)</f>
      </c>
    </row>
    <row r="23" spans="1:8" x14ac:dyDescent="0.25">
      <c r="A23">
        <f>IF($D23="","","TXN-"&amp;TEXT(ROW()-3,"0000"))</f>
      </c>
      <c r="E23">
        <f>IF($D23="","",IFERROR(VLOOKUP($D23,Products!$A:$C,2,FALSE),""))</f>
      </c>
      <c r="F23" s="4"/>
      <c r="G23" s="5">
        <f>IF($D23="","",IFERROR(VLOOKUP($D23,Products!$A:$C,3,FALSE),""))</f>
      </c>
      <c r="H23" s="5">
        <f>IF(OR($D23="",$F23=""),"",$F23*$G23)</f>
      </c>
    </row>
    <row r="24" spans="1:8" x14ac:dyDescent="0.25">
      <c r="A24">
        <f>IF($D24="","","TXN-"&amp;TEXT(ROW()-3,"0000"))</f>
      </c>
      <c r="E24">
        <f>IF($D24="","",IFERROR(VLOOKUP($D24,Products!$A:$C,2,FALSE),""))</f>
      </c>
      <c r="F24" s="4"/>
      <c r="G24" s="5">
        <f>IF($D24="","",IFERROR(VLOOKUP($D24,Products!$A:$C,3,FALSE),""))</f>
      </c>
      <c r="H24" s="5">
        <f>IF(OR($D24="",$F24=""),"",$F24*$G24)</f>
      </c>
    </row>
    <row r="25" spans="1:8" x14ac:dyDescent="0.25">
      <c r="A25">
        <f>IF($D25="","","TXN-"&amp;TEXT(ROW()-3,"0000"))</f>
      </c>
      <c r="E25">
        <f>IF($D25="","",IFERROR(VLOOKUP($D25,Products!$A:$C,2,FALSE),""))</f>
      </c>
      <c r="F25" s="4"/>
      <c r="G25" s="5">
        <f>IF($D25="","",IFERROR(VLOOKUP($D25,Products!$A:$C,3,FALSE),""))</f>
      </c>
      <c r="H25" s="5">
        <f>IF(OR($D25="",$F25=""),"",$F25*$G25)</f>
      </c>
    </row>
    <row r="26" spans="1:8" x14ac:dyDescent="0.25">
      <c r="A26">
        <f>IF($D26="","","TXN-"&amp;TEXT(ROW()-3,"0000"))</f>
      </c>
      <c r="E26">
        <f>IF($D26="","",IFERROR(VLOOKUP($D26,Products!$A:$C,2,FALSE),""))</f>
      </c>
      <c r="F26" s="4"/>
      <c r="G26" s="5">
        <f>IF($D26="","",IFERROR(VLOOKUP($D26,Products!$A:$C,3,FALSE),""))</f>
      </c>
      <c r="H26" s="5">
        <f>IF(OR($D26="",$F26=""),"",$F26*$G26)</f>
      </c>
    </row>
    <row r="27" spans="1:8" x14ac:dyDescent="0.25">
      <c r="A27">
        <f>IF($D27="","","TXN-"&amp;TEXT(ROW()-3,"0000"))</f>
      </c>
      <c r="E27">
        <f>IF($D27="","",IFERROR(VLOOKUP($D27,Products!$A:$C,2,FALSE),""))</f>
      </c>
      <c r="F27" s="4"/>
      <c r="G27" s="5">
        <f>IF($D27="","",IFERROR(VLOOKUP($D27,Products!$A:$C,3,FALSE),""))</f>
      </c>
      <c r="H27" s="5">
        <f>IF(OR($D27="",$F27=""),"",$F27*$G27)</f>
      </c>
    </row>
    <row r="28" spans="1:8" x14ac:dyDescent="0.25">
      <c r="A28">
        <f>IF($D28="","","TXN-"&amp;TEXT(ROW()-3,"0000"))</f>
      </c>
      <c r="E28">
        <f>IF($D28="","",IFERROR(VLOOKUP($D28,Products!$A:$C,2,FALSE),""))</f>
      </c>
      <c r="F28" s="4"/>
      <c r="G28" s="5">
        <f>IF($D28="","",IFERROR(VLOOKUP($D28,Products!$A:$C,3,FALSE),""))</f>
      </c>
      <c r="H28" s="5">
        <f>IF(OR($D28="",$F28=""),"",$F28*$G28)</f>
      </c>
    </row>
    <row r="29" spans="1:8" x14ac:dyDescent="0.25">
      <c r="A29">
        <f>IF($D29="","","TXN-"&amp;TEXT(ROW()-3,"0000"))</f>
      </c>
      <c r="E29">
        <f>IF($D29="","",IFERROR(VLOOKUP($D29,Products!$A:$C,2,FALSE),""))</f>
      </c>
      <c r="F29" s="4"/>
      <c r="G29" s="5">
        <f>IF($D29="","",IFERROR(VLOOKUP($D29,Products!$A:$C,3,FALSE),""))</f>
      </c>
      <c r="H29" s="5">
        <f>IF(OR($D29="",$F29=""),"",$F29*$G29)</f>
      </c>
    </row>
    <row r="30" spans="1:8" x14ac:dyDescent="0.25">
      <c r="A30">
        <f>IF($D30="","","TXN-"&amp;TEXT(ROW()-3,"0000"))</f>
      </c>
      <c r="E30">
        <f>IF($D30="","",IFERROR(VLOOKUP($D30,Products!$A:$C,2,FALSE),""))</f>
      </c>
      <c r="F30" s="4"/>
      <c r="G30" s="5">
        <f>IF($D30="","",IFERROR(VLOOKUP($D30,Products!$A:$C,3,FALSE),""))</f>
      </c>
      <c r="H30" s="5">
        <f>IF(OR($D30="",$F30=""),"",$F30*$G30)</f>
      </c>
    </row>
    <row r="31" spans="1:8" x14ac:dyDescent="0.25">
      <c r="A31">
        <f>IF($D31="","","TXN-"&amp;TEXT(ROW()-3,"0000"))</f>
      </c>
      <c r="E31">
        <f>IF($D31="","",IFERROR(VLOOKUP($D31,Products!$A:$C,2,FALSE),""))</f>
      </c>
      <c r="F31" s="4"/>
      <c r="G31" s="5">
        <f>IF($D31="","",IFERROR(VLOOKUP($D31,Products!$A:$C,3,FALSE),""))</f>
      </c>
      <c r="H31" s="5">
        <f>IF(OR($D31="",$F31=""),"",$F31*$G31)</f>
      </c>
    </row>
    <row r="32" spans="1:8" x14ac:dyDescent="0.25">
      <c r="A32">
        <f>IF($D32="","","TXN-"&amp;TEXT(ROW()-3,"0000"))</f>
      </c>
      <c r="E32">
        <f>IF($D32="","",IFERROR(VLOOKUP($D32,Products!$A:$C,2,FALSE),""))</f>
      </c>
      <c r="F32" s="4"/>
      <c r="G32" s="5">
        <f>IF($D32="","",IFERROR(VLOOKUP($D32,Products!$A:$C,3,FALSE),""))</f>
      </c>
      <c r="H32" s="5">
        <f>IF(OR($D32="",$F32=""),"",$F32*$G32)</f>
      </c>
    </row>
    <row r="33" spans="1:8" x14ac:dyDescent="0.25">
      <c r="A33">
        <f>IF($D33="","","TXN-"&amp;TEXT(ROW()-3,"0000"))</f>
      </c>
      <c r="E33">
        <f>IF($D33="","",IFERROR(VLOOKUP($D33,Products!$A:$C,2,FALSE),""))</f>
      </c>
      <c r="F33" s="4"/>
      <c r="G33" s="5">
        <f>IF($D33="","",IFERROR(VLOOKUP($D33,Products!$A:$C,3,FALSE),""))</f>
      </c>
      <c r="H33" s="5">
        <f>IF(OR($D33="",$F33=""),"",$F33*$G33)</f>
      </c>
    </row>
    <row r="34" spans="1:8" x14ac:dyDescent="0.25">
      <c r="A34">
        <f>IF($D34="","","TXN-"&amp;TEXT(ROW()-3,"0000"))</f>
      </c>
      <c r="E34">
        <f>IF($D34="","",IFERROR(VLOOKUP($D34,Products!$A:$C,2,FALSE),""))</f>
      </c>
      <c r="F34" s="4"/>
      <c r="G34" s="5">
        <f>IF($D34="","",IFERROR(VLOOKUP($D34,Products!$A:$C,3,FALSE),""))</f>
      </c>
      <c r="H34" s="5">
        <f>IF(OR($D34="",$F34=""),"",$F34*$G34)</f>
      </c>
    </row>
    <row r="35" spans="1:8" x14ac:dyDescent="0.25">
      <c r="A35">
        <f>IF($D35="","","TXN-"&amp;TEXT(ROW()-3,"0000"))</f>
      </c>
      <c r="E35">
        <f>IF($D35="","",IFERROR(VLOOKUP($D35,Products!$A:$C,2,FALSE),""))</f>
      </c>
      <c r="F35" s="4"/>
      <c r="G35" s="5">
        <f>IF($D35="","",IFERROR(VLOOKUP($D35,Products!$A:$C,3,FALSE),""))</f>
      </c>
      <c r="H35" s="5">
        <f>IF(OR($D35="",$F35=""),"",$F35*$G35)</f>
      </c>
    </row>
    <row r="36" spans="1:8" x14ac:dyDescent="0.25">
      <c r="A36">
        <f>IF($D36="","","TXN-"&amp;TEXT(ROW()-3,"0000"))</f>
      </c>
      <c r="E36">
        <f>IF($D36="","",IFERROR(VLOOKUP($D36,Products!$A:$C,2,FALSE),""))</f>
      </c>
      <c r="F36" s="4"/>
      <c r="G36" s="5">
        <f>IF($D36="","",IFERROR(VLOOKUP($D36,Products!$A:$C,3,FALSE),""))</f>
      </c>
      <c r="H36" s="5">
        <f>IF(OR($D36="",$F36=""),"",$F36*$G36)</f>
      </c>
    </row>
    <row r="37" spans="1:8" x14ac:dyDescent="0.25">
      <c r="A37">
        <f>IF($D37="","","TXN-"&amp;TEXT(ROW()-3,"0000"))</f>
      </c>
      <c r="E37">
        <f>IF($D37="","",IFERROR(VLOOKUP($D37,Products!$A:$C,2,FALSE),""))</f>
      </c>
      <c r="F37" s="4"/>
      <c r="G37" s="5">
        <f>IF($D37="","",IFERROR(VLOOKUP($D37,Products!$A:$C,3,FALSE),""))</f>
      </c>
      <c r="H37" s="5">
        <f>IF(OR($D37="",$F37=""),"",$F37*$G37)</f>
      </c>
    </row>
    <row r="38" spans="1:8" x14ac:dyDescent="0.25">
      <c r="A38">
        <f>IF($D38="","","TXN-"&amp;TEXT(ROW()-3,"0000"))</f>
      </c>
      <c r="E38">
        <f>IF($D38="","",IFERROR(VLOOKUP($D38,Products!$A:$C,2,FALSE),""))</f>
      </c>
      <c r="F38" s="4"/>
      <c r="G38" s="5">
        <f>IF($D38="","",IFERROR(VLOOKUP($D38,Products!$A:$C,3,FALSE),""))</f>
      </c>
      <c r="H38" s="5">
        <f>IF(OR($D38="",$F38=""),"",$F38*$G38)</f>
      </c>
    </row>
    <row r="39" spans="1:8" x14ac:dyDescent="0.25">
      <c r="A39">
        <f>IF($D39="","","TXN-"&amp;TEXT(ROW()-3,"0000"))</f>
      </c>
      <c r="E39">
        <f>IF($D39="","",IFERROR(VLOOKUP($D39,Products!$A:$C,2,FALSE),""))</f>
      </c>
      <c r="F39" s="4"/>
      <c r="G39" s="5">
        <f>IF($D39="","",IFERROR(VLOOKUP($D39,Products!$A:$C,3,FALSE),""))</f>
      </c>
      <c r="H39" s="5">
        <f>IF(OR($D39="",$F39=""),"",$F39*$G39)</f>
      </c>
    </row>
    <row r="40" spans="1:8" x14ac:dyDescent="0.25">
      <c r="A40">
        <f>IF($D40="","","TXN-"&amp;TEXT(ROW()-3,"0000"))</f>
      </c>
      <c r="E40">
        <f>IF($D40="","",IFERROR(VLOOKUP($D40,Products!$A:$C,2,FALSE),""))</f>
      </c>
      <c r="F40" s="4"/>
      <c r="G40" s="5">
        <f>IF($D40="","",IFERROR(VLOOKUP($D40,Products!$A:$C,3,FALSE),""))</f>
      </c>
      <c r="H40" s="5">
        <f>IF(OR($D40="",$F40=""),"",$F40*$G40)</f>
      </c>
    </row>
    <row r="41" spans="1:8" x14ac:dyDescent="0.25">
      <c r="A41">
        <f>IF($D41="","","TXN-"&amp;TEXT(ROW()-3,"0000"))</f>
      </c>
      <c r="E41">
        <f>IF($D41="","",IFERROR(VLOOKUP($D41,Products!$A:$C,2,FALSE),""))</f>
      </c>
      <c r="F41" s="4"/>
      <c r="G41" s="5">
        <f>IF($D41="","",IFERROR(VLOOKUP($D41,Products!$A:$C,3,FALSE),""))</f>
      </c>
      <c r="H41" s="5">
        <f>IF(OR($D41="",$F41=""),"",$F41*$G41)</f>
      </c>
    </row>
    <row r="42" spans="1:8" x14ac:dyDescent="0.25">
      <c r="A42">
        <f>IF($D42="","","TXN-"&amp;TEXT(ROW()-3,"0000"))</f>
      </c>
      <c r="E42">
        <f>IF($D42="","",IFERROR(VLOOKUP($D42,Products!$A:$C,2,FALSE),""))</f>
      </c>
      <c r="F42" s="4"/>
      <c r="G42" s="5">
        <f>IF($D42="","",IFERROR(VLOOKUP($D42,Products!$A:$C,3,FALSE),""))</f>
      </c>
      <c r="H42" s="5">
        <f>IF(OR($D42="",$F42=""),"",$F42*$G42)</f>
      </c>
    </row>
    <row r="43" spans="1:8" x14ac:dyDescent="0.25">
      <c r="A43">
        <f>IF($D43="","","TXN-"&amp;TEXT(ROW()-3,"0000"))</f>
      </c>
      <c r="E43">
        <f>IF($D43="","",IFERROR(VLOOKUP($D43,Products!$A:$C,2,FALSE),""))</f>
      </c>
      <c r="F43" s="4"/>
      <c r="G43" s="5">
        <f>IF($D43="","",IFERROR(VLOOKUP($D43,Products!$A:$C,3,FALSE),""))</f>
      </c>
      <c r="H43" s="5">
        <f>IF(OR($D43="",$F43=""),"",$F43*$G43)</f>
      </c>
    </row>
    <row r="44" spans="1:8" x14ac:dyDescent="0.25">
      <c r="A44">
        <f>IF($D44="","","TXN-"&amp;TEXT(ROW()-3,"0000"))</f>
      </c>
      <c r="E44">
        <f>IF($D44="","",IFERROR(VLOOKUP($D44,Products!$A:$C,2,FALSE),""))</f>
      </c>
      <c r="F44" s="4"/>
      <c r="G44" s="5">
        <f>IF($D44="","",IFERROR(VLOOKUP($D44,Products!$A:$C,3,FALSE),""))</f>
      </c>
      <c r="H44" s="5">
        <f>IF(OR($D44="",$F44=""),"",$F44*$G44)</f>
      </c>
    </row>
    <row r="45" spans="1:8" x14ac:dyDescent="0.25">
      <c r="A45">
        <f>IF($D45="","","TXN-"&amp;TEXT(ROW()-3,"0000"))</f>
      </c>
      <c r="E45">
        <f>IF($D45="","",IFERROR(VLOOKUP($D45,Products!$A:$C,2,FALSE),""))</f>
      </c>
      <c r="F45" s="4"/>
      <c r="G45" s="5">
        <f>IF($D45="","",IFERROR(VLOOKUP($D45,Products!$A:$C,3,FALSE),""))</f>
      </c>
      <c r="H45" s="5">
        <f>IF(OR($D45="",$F45=""),"",$F45*$G45)</f>
      </c>
    </row>
    <row r="46" spans="1:8" x14ac:dyDescent="0.25">
      <c r="A46">
        <f>IF($D46="","","TXN-"&amp;TEXT(ROW()-3,"0000"))</f>
      </c>
      <c r="E46">
        <f>IF($D46="","",IFERROR(VLOOKUP($D46,Products!$A:$C,2,FALSE),""))</f>
      </c>
      <c r="F46" s="4"/>
      <c r="G46" s="5">
        <f>IF($D46="","",IFERROR(VLOOKUP($D46,Products!$A:$C,3,FALSE),""))</f>
      </c>
      <c r="H46" s="5">
        <f>IF(OR($D46="",$F46=""),"",$F46*$G46)</f>
      </c>
    </row>
    <row r="47" spans="1:8" x14ac:dyDescent="0.25">
      <c r="A47">
        <f>IF($D47="","","TXN-"&amp;TEXT(ROW()-3,"0000"))</f>
      </c>
      <c r="E47">
        <f>IF($D47="","",IFERROR(VLOOKUP($D47,Products!$A:$C,2,FALSE),""))</f>
      </c>
      <c r="F47" s="4"/>
      <c r="G47" s="5">
        <f>IF($D47="","",IFERROR(VLOOKUP($D47,Products!$A:$C,3,FALSE),""))</f>
      </c>
      <c r="H47" s="5">
        <f>IF(OR($D47="",$F47=""),"",$F47*$G47)</f>
      </c>
    </row>
    <row r="48" spans="1:8" x14ac:dyDescent="0.25">
      <c r="A48">
        <f>IF($D48="","","TXN-"&amp;TEXT(ROW()-3,"0000"))</f>
      </c>
      <c r="E48">
        <f>IF($D48="","",IFERROR(VLOOKUP($D48,Products!$A:$C,2,FALSE),""))</f>
      </c>
      <c r="F48" s="4"/>
      <c r="G48" s="5">
        <f>IF($D48="","",IFERROR(VLOOKUP($D48,Products!$A:$C,3,FALSE),""))</f>
      </c>
      <c r="H48" s="5">
        <f>IF(OR($D48="",$F48=""),"",$F48*$G48)</f>
      </c>
    </row>
    <row r="49" spans="1:8" x14ac:dyDescent="0.25">
      <c r="A49">
        <f>IF($D49="","","TXN-"&amp;TEXT(ROW()-3,"0000"))</f>
      </c>
      <c r="E49">
        <f>IF($D49="","",IFERROR(VLOOKUP($D49,Products!$A:$C,2,FALSE),""))</f>
      </c>
      <c r="F49" s="4"/>
      <c r="G49" s="5">
        <f>IF($D49="","",IFERROR(VLOOKUP($D49,Products!$A:$C,3,FALSE),""))</f>
      </c>
      <c r="H49" s="5">
        <f>IF(OR($D49="",$F49=""),"",$F49*$G49)</f>
      </c>
    </row>
    <row r="50" spans="1:8" x14ac:dyDescent="0.25">
      <c r="A50">
        <f>IF($D50="","","TXN-"&amp;TEXT(ROW()-3,"0000"))</f>
      </c>
      <c r="E50">
        <f>IF($D50="","",IFERROR(VLOOKUP($D50,Products!$A:$C,2,FALSE),""))</f>
      </c>
      <c r="F50" s="4"/>
      <c r="G50" s="5">
        <f>IF($D50="","",IFERROR(VLOOKUP($D50,Products!$A:$C,3,FALSE),""))</f>
      </c>
      <c r="H50" s="5">
        <f>IF(OR($D50="",$F50=""),"",$F50*$G50)</f>
      </c>
    </row>
    <row r="51" spans="1:8" x14ac:dyDescent="0.25">
      <c r="A51">
        <f>IF($D51="","","TXN-"&amp;TEXT(ROW()-3,"0000"))</f>
      </c>
      <c r="E51">
        <f>IF($D51="","",IFERROR(VLOOKUP($D51,Products!$A:$C,2,FALSE),""))</f>
      </c>
      <c r="F51" s="4"/>
      <c r="G51" s="5">
        <f>IF($D51="","",IFERROR(VLOOKUP($D51,Products!$A:$C,3,FALSE),""))</f>
      </c>
      <c r="H51" s="5">
        <f>IF(OR($D51="",$F51=""),"",$F51*$G51)</f>
      </c>
    </row>
    <row r="52" spans="1:8" x14ac:dyDescent="0.25">
      <c r="A52">
        <f>IF($D52="","","TXN-"&amp;TEXT(ROW()-3,"0000"))</f>
      </c>
      <c r="E52">
        <f>IF($D52="","",IFERROR(VLOOKUP($D52,Products!$A:$C,2,FALSE),""))</f>
      </c>
      <c r="F52" s="4"/>
      <c r="G52" s="5">
        <f>IF($D52="","",IFERROR(VLOOKUP($D52,Products!$A:$C,3,FALSE),""))</f>
      </c>
      <c r="H52" s="5">
        <f>IF(OR($D52="",$F52=""),"",$F52*$G52)</f>
      </c>
    </row>
    <row r="53" spans="1:8" x14ac:dyDescent="0.25">
      <c r="A53">
        <f>IF($D53="","","TXN-"&amp;TEXT(ROW()-3,"0000"))</f>
      </c>
      <c r="E53">
        <f>IF($D53="","",IFERROR(VLOOKUP($D53,Products!$A:$C,2,FALSE),""))</f>
      </c>
      <c r="F53" s="4"/>
      <c r="G53" s="5">
        <f>IF($D53="","",IFERROR(VLOOKUP($D53,Products!$A:$C,3,FALSE),""))</f>
      </c>
      <c r="H53" s="5">
        <f>IF(OR($D53="",$F53=""),"",$F53*$G53)</f>
      </c>
    </row>
    <row r="54" spans="1:8" x14ac:dyDescent="0.25">
      <c r="A54">
        <f>IF($D54="","","TXN-"&amp;TEXT(ROW()-3,"0000"))</f>
      </c>
      <c r="E54">
        <f>IF($D54="","",IFERROR(VLOOKUP($D54,Products!$A:$C,2,FALSE),""))</f>
      </c>
      <c r="F54" s="4"/>
      <c r="G54" s="5">
        <f>IF($D54="","",IFERROR(VLOOKUP($D54,Products!$A:$C,3,FALSE),""))</f>
      </c>
      <c r="H54" s="5">
        <f>IF(OR($D54="",$F54=""),"",$F54*$G54)</f>
      </c>
    </row>
    <row r="55" spans="1:8" x14ac:dyDescent="0.25">
      <c r="A55">
        <f>IF($D55="","","TXN-"&amp;TEXT(ROW()-3,"0000"))</f>
      </c>
      <c r="E55">
        <f>IF($D55="","",IFERROR(VLOOKUP($D55,Products!$A:$C,2,FALSE),""))</f>
      </c>
      <c r="F55" s="4"/>
      <c r="G55" s="5">
        <f>IF($D55="","",IFERROR(VLOOKUP($D55,Products!$A:$C,3,FALSE),""))</f>
      </c>
      <c r="H55" s="5">
        <f>IF(OR($D55="",$F55=""),"",$F55*$G55)</f>
      </c>
    </row>
    <row r="56" spans="1:8" x14ac:dyDescent="0.25">
      <c r="A56">
        <f>IF($D56="","","TXN-"&amp;TEXT(ROW()-3,"0000"))</f>
      </c>
      <c r="E56">
        <f>IF($D56="","",IFERROR(VLOOKUP($D56,Products!$A:$C,2,FALSE),""))</f>
      </c>
      <c r="F56" s="4"/>
      <c r="G56" s="5">
        <f>IF($D56="","",IFERROR(VLOOKUP($D56,Products!$A:$C,3,FALSE),""))</f>
      </c>
      <c r="H56" s="5">
        <f>IF(OR($D56="",$F56=""),"",$F56*$G56)</f>
      </c>
    </row>
    <row r="57" spans="1:8" x14ac:dyDescent="0.25">
      <c r="A57">
        <f>IF($D57="","","TXN-"&amp;TEXT(ROW()-3,"0000"))</f>
      </c>
      <c r="E57">
        <f>IF($D57="","",IFERROR(VLOOKUP($D57,Products!$A:$C,2,FALSE),""))</f>
      </c>
      <c r="F57" s="4"/>
      <c r="G57" s="5">
        <f>IF($D57="","",IFERROR(VLOOKUP($D57,Products!$A:$C,3,FALSE),""))</f>
      </c>
      <c r="H57" s="5">
        <f>IF(OR($D57="",$F57=""),"",$F57*$G57)</f>
      </c>
    </row>
    <row r="58" spans="1:8" x14ac:dyDescent="0.25">
      <c r="A58">
        <f>IF($D58="","","TXN-"&amp;TEXT(ROW()-3,"0000"))</f>
      </c>
      <c r="E58">
        <f>IF($D58="","",IFERROR(VLOOKUP($D58,Products!$A:$C,2,FALSE),""))</f>
      </c>
      <c r="F58" s="4"/>
      <c r="G58" s="5">
        <f>IF($D58="","",IFERROR(VLOOKUP($D58,Products!$A:$C,3,FALSE),""))</f>
      </c>
      <c r="H58" s="5">
        <f>IF(OR($D58="",$F58=""),"",$F58*$G58)</f>
      </c>
    </row>
    <row r="59" spans="1:8" x14ac:dyDescent="0.25">
      <c r="A59">
        <f>IF($D59="","","TXN-"&amp;TEXT(ROW()-3,"0000"))</f>
      </c>
      <c r="E59">
        <f>IF($D59="","",IFERROR(VLOOKUP($D59,Products!$A:$C,2,FALSE),""))</f>
      </c>
      <c r="F59" s="4"/>
      <c r="G59" s="5">
        <f>IF($D59="","",IFERROR(VLOOKUP($D59,Products!$A:$C,3,FALSE),""))</f>
      </c>
      <c r="H59" s="5">
        <f>IF(OR($D59="",$F59=""),"",$F59*$G59)</f>
      </c>
    </row>
    <row r="60" spans="1:8" x14ac:dyDescent="0.25">
      <c r="A60">
        <f>IF($D60="","","TXN-"&amp;TEXT(ROW()-3,"0000"))</f>
      </c>
      <c r="E60">
        <f>IF($D60="","",IFERROR(VLOOKUP($D60,Products!$A:$C,2,FALSE),""))</f>
      </c>
      <c r="F60" s="4"/>
      <c r="G60" s="5">
        <f>IF($D60="","",IFERROR(VLOOKUP($D60,Products!$A:$C,3,FALSE),""))</f>
      </c>
      <c r="H60" s="5">
        <f>IF(OR($D60="",$F60=""),"",$F60*$G60)</f>
      </c>
    </row>
    <row r="61" spans="1:8" x14ac:dyDescent="0.25">
      <c r="A61">
        <f>IF($D61="","","TXN-"&amp;TEXT(ROW()-3,"0000"))</f>
      </c>
      <c r="E61">
        <f>IF($D61="","",IFERROR(VLOOKUP($D61,Products!$A:$C,2,FALSE),""))</f>
      </c>
      <c r="F61" s="4"/>
      <c r="G61" s="5">
        <f>IF($D61="","",IFERROR(VLOOKUP($D61,Products!$A:$C,3,FALSE),""))</f>
      </c>
      <c r="H61" s="5">
        <f>IF(OR($D61="",$F61=""),"",$F61*$G61)</f>
      </c>
    </row>
    <row r="62" spans="1:8" x14ac:dyDescent="0.25">
      <c r="A62">
        <f>IF($D62="","","TXN-"&amp;TEXT(ROW()-3,"0000"))</f>
      </c>
      <c r="E62">
        <f>IF($D62="","",IFERROR(VLOOKUP($D62,Products!$A:$C,2,FALSE),""))</f>
      </c>
      <c r="F62" s="4"/>
      <c r="G62" s="5">
        <f>IF($D62="","",IFERROR(VLOOKUP($D62,Products!$A:$C,3,FALSE),""))</f>
      </c>
      <c r="H62" s="5">
        <f>IF(OR($D62="",$F62=""),"",$F62*$G62)</f>
      </c>
    </row>
    <row r="63" spans="1:8" x14ac:dyDescent="0.25">
      <c r="A63">
        <f>IF($D63="","","TXN-"&amp;TEXT(ROW()-3,"0000"))</f>
      </c>
      <c r="E63">
        <f>IF($D63="","",IFERROR(VLOOKUP($D63,Products!$A:$C,2,FALSE),""))</f>
      </c>
      <c r="F63" s="4"/>
      <c r="G63" s="5">
        <f>IF($D63="","",IFERROR(VLOOKUP($D63,Products!$A:$C,3,FALSE),""))</f>
      </c>
      <c r="H63" s="5">
        <f>IF(OR($D63="",$F63=""),"",$F63*$G63)</f>
      </c>
    </row>
    <row r="64" spans="1:8" x14ac:dyDescent="0.25">
      <c r="A64">
        <f>IF($D64="","","TXN-"&amp;TEXT(ROW()-3,"0000"))</f>
      </c>
      <c r="E64">
        <f>IF($D64="","",IFERROR(VLOOKUP($D64,Products!$A:$C,2,FALSE),""))</f>
      </c>
      <c r="F64" s="4"/>
      <c r="G64" s="5">
        <f>IF($D64="","",IFERROR(VLOOKUP($D64,Products!$A:$C,3,FALSE),""))</f>
      </c>
      <c r="H64" s="5">
        <f>IF(OR($D64="",$F64=""),"",$F64*$G64)</f>
      </c>
    </row>
    <row r="65" spans="1:8" x14ac:dyDescent="0.25">
      <c r="A65">
        <f>IF($D65="","","TXN-"&amp;TEXT(ROW()-3,"0000"))</f>
      </c>
      <c r="E65">
        <f>IF($D65="","",IFERROR(VLOOKUP($D65,Products!$A:$C,2,FALSE),""))</f>
      </c>
      <c r="F65" s="4"/>
      <c r="G65" s="5">
        <f>IF($D65="","",IFERROR(VLOOKUP($D65,Products!$A:$C,3,FALSE),""))</f>
      </c>
      <c r="H65" s="5">
        <f>IF(OR($D65="",$F65=""),"",$F65*$G65)</f>
      </c>
    </row>
    <row r="66" spans="1:8" x14ac:dyDescent="0.25">
      <c r="A66">
        <f>IF($D66="","","TXN-"&amp;TEXT(ROW()-3,"0000"))</f>
      </c>
      <c r="E66">
        <f>IF($D66="","",IFERROR(VLOOKUP($D66,Products!$A:$C,2,FALSE),""))</f>
      </c>
      <c r="F66" s="4"/>
      <c r="G66" s="5">
        <f>IF($D66="","",IFERROR(VLOOKUP($D66,Products!$A:$C,3,FALSE),""))</f>
      </c>
      <c r="H66" s="5">
        <f>IF(OR($D66="",$F66=""),"",$F66*$G66)</f>
      </c>
    </row>
    <row r="67" spans="1:8" x14ac:dyDescent="0.25">
      <c r="A67">
        <f>IF($D67="","","TXN-"&amp;TEXT(ROW()-3,"0000"))</f>
      </c>
      <c r="E67">
        <f>IF($D67="","",IFERROR(VLOOKUP($D67,Products!$A:$C,2,FALSE),""))</f>
      </c>
      <c r="F67" s="4"/>
      <c r="G67" s="5">
        <f>IF($D67="","",IFERROR(VLOOKUP($D67,Products!$A:$C,3,FALSE),""))</f>
      </c>
      <c r="H67" s="5">
        <f>IF(OR($D67="",$F67=""),"",$F67*$G67)</f>
      </c>
    </row>
    <row r="68" spans="1:8" x14ac:dyDescent="0.25">
      <c r="A68">
        <f>IF($D68="","","TXN-"&amp;TEXT(ROW()-3,"0000"))</f>
      </c>
      <c r="E68">
        <f>IF($D68="","",IFERROR(VLOOKUP($D68,Products!$A:$C,2,FALSE),""))</f>
      </c>
      <c r="F68" s="4"/>
      <c r="G68" s="5">
        <f>IF($D68="","",IFERROR(VLOOKUP($D68,Products!$A:$C,3,FALSE),""))</f>
      </c>
      <c r="H68" s="5">
        <f>IF(OR($D68="",$F68=""),"",$F68*$G68)</f>
      </c>
    </row>
    <row r="69" spans="1:8" x14ac:dyDescent="0.25">
      <c r="A69">
        <f>IF($D69="","","TXN-"&amp;TEXT(ROW()-3,"0000"))</f>
      </c>
      <c r="E69">
        <f>IF($D69="","",IFERROR(VLOOKUP($D69,Products!$A:$C,2,FALSE),""))</f>
      </c>
      <c r="F69" s="4"/>
      <c r="G69" s="5">
        <f>IF($D69="","",IFERROR(VLOOKUP($D69,Products!$A:$C,3,FALSE),""))</f>
      </c>
      <c r="H69" s="5">
        <f>IF(OR($D69="",$F69=""),"",$F69*$G69)</f>
      </c>
    </row>
    <row r="70" spans="1:8" x14ac:dyDescent="0.25">
      <c r="A70">
        <f>IF($D70="","","TXN-"&amp;TEXT(ROW()-3,"0000"))</f>
      </c>
      <c r="E70">
        <f>IF($D70="","",IFERROR(VLOOKUP($D70,Products!$A:$C,2,FALSE),""))</f>
      </c>
      <c r="F70" s="4"/>
      <c r="G70" s="5">
        <f>IF($D70="","",IFERROR(VLOOKUP($D70,Products!$A:$C,3,FALSE),""))</f>
      </c>
      <c r="H70" s="5">
        <f>IF(OR($D70="",$F70=""),"",$F70*$G70)</f>
      </c>
    </row>
    <row r="71" spans="1:8" x14ac:dyDescent="0.25">
      <c r="A71">
        <f>IF($D71="","","TXN-"&amp;TEXT(ROW()-3,"0000"))</f>
      </c>
      <c r="E71">
        <f>IF($D71="","",IFERROR(VLOOKUP($D71,Products!$A:$C,2,FALSE),""))</f>
      </c>
      <c r="F71" s="4"/>
      <c r="G71" s="5">
        <f>IF($D71="","",IFERROR(VLOOKUP($D71,Products!$A:$C,3,FALSE),""))</f>
      </c>
      <c r="H71" s="5">
        <f>IF(OR($D71="",$F71=""),"",$F71*$G71)</f>
      </c>
    </row>
    <row r="72" spans="1:8" x14ac:dyDescent="0.25">
      <c r="A72">
        <f>IF($D72="","","TXN-"&amp;TEXT(ROW()-3,"0000"))</f>
      </c>
      <c r="E72">
        <f>IF($D72="","",IFERROR(VLOOKUP($D72,Products!$A:$C,2,FALSE),""))</f>
      </c>
      <c r="F72" s="4"/>
      <c r="G72" s="5">
        <f>IF($D72="","",IFERROR(VLOOKUP($D72,Products!$A:$C,3,FALSE),""))</f>
      </c>
      <c r="H72" s="5">
        <f>IF(OR($D72="",$F72=""),"",$F72*$G72)</f>
      </c>
    </row>
    <row r="73" spans="1:8" x14ac:dyDescent="0.25">
      <c r="A73">
        <f>IF($D73="","","TXN-"&amp;TEXT(ROW()-3,"0000"))</f>
      </c>
      <c r="E73">
        <f>IF($D73="","",IFERROR(VLOOKUP($D73,Products!$A:$C,2,FALSE),""))</f>
      </c>
      <c r="F73" s="4"/>
      <c r="G73" s="5">
        <f>IF($D73="","",IFERROR(VLOOKUP($D73,Products!$A:$C,3,FALSE),""))</f>
      </c>
      <c r="H73" s="5">
        <f>IF(OR($D73="",$F73=""),"",$F73*$G73)</f>
      </c>
    </row>
    <row r="74" spans="1:8" x14ac:dyDescent="0.25">
      <c r="A74">
        <f>IF($D74="","","TXN-"&amp;TEXT(ROW()-3,"0000"))</f>
      </c>
      <c r="E74">
        <f>IF($D74="","",IFERROR(VLOOKUP($D74,Products!$A:$C,2,FALSE),""))</f>
      </c>
      <c r="F74" s="4"/>
      <c r="G74" s="5">
        <f>IF($D74="","",IFERROR(VLOOKUP($D74,Products!$A:$C,3,FALSE),""))</f>
      </c>
      <c r="H74" s="5">
        <f>IF(OR($D74="",$F74=""),"",$F74*$G74)</f>
      </c>
    </row>
    <row r="75" spans="1:8" x14ac:dyDescent="0.25">
      <c r="A75">
        <f>IF($D75="","","TXN-"&amp;TEXT(ROW()-3,"0000"))</f>
      </c>
      <c r="E75">
        <f>IF($D75="","",IFERROR(VLOOKUP($D75,Products!$A:$C,2,FALSE),""))</f>
      </c>
      <c r="F75" s="4"/>
      <c r="G75" s="5">
        <f>IF($D75="","",IFERROR(VLOOKUP($D75,Products!$A:$C,3,FALSE),""))</f>
      </c>
      <c r="H75" s="5">
        <f>IF(OR($D75="",$F75=""),"",$F75*$G75)</f>
      </c>
    </row>
    <row r="76" spans="1:8" x14ac:dyDescent="0.25">
      <c r="A76">
        <f>IF($D76="","","TXN-"&amp;TEXT(ROW()-3,"0000"))</f>
      </c>
      <c r="E76">
        <f>IF($D76="","",IFERROR(VLOOKUP($D76,Products!$A:$C,2,FALSE),""))</f>
      </c>
      <c r="F76" s="4"/>
      <c r="G76" s="5">
        <f>IF($D76="","",IFERROR(VLOOKUP($D76,Products!$A:$C,3,FALSE),""))</f>
      </c>
      <c r="H76" s="5">
        <f>IF(OR($D76="",$F76=""),"",$F76*$G76)</f>
      </c>
    </row>
    <row r="77" spans="1:8" x14ac:dyDescent="0.25">
      <c r="A77">
        <f>IF($D77="","","TXN-"&amp;TEXT(ROW()-3,"0000"))</f>
      </c>
      <c r="E77">
        <f>IF($D77="","",IFERROR(VLOOKUP($D77,Products!$A:$C,2,FALSE),""))</f>
      </c>
      <c r="F77" s="4"/>
      <c r="G77" s="5">
        <f>IF($D77="","",IFERROR(VLOOKUP($D77,Products!$A:$C,3,FALSE),""))</f>
      </c>
      <c r="H77" s="5">
        <f>IF(OR($D77="",$F77=""),"",$F77*$G77)</f>
      </c>
    </row>
    <row r="78" spans="1:8" x14ac:dyDescent="0.25">
      <c r="A78">
        <f>IF($D78="","","TXN-"&amp;TEXT(ROW()-3,"0000"))</f>
      </c>
      <c r="E78">
        <f>IF($D78="","",IFERROR(VLOOKUP($D78,Products!$A:$C,2,FALSE),""))</f>
      </c>
      <c r="F78" s="4"/>
      <c r="G78" s="5">
        <f>IF($D78="","",IFERROR(VLOOKUP($D78,Products!$A:$C,3,FALSE),""))</f>
      </c>
      <c r="H78" s="5">
        <f>IF(OR($D78="",$F78=""),"",$F78*$G78)</f>
      </c>
    </row>
    <row r="79" spans="1:8" x14ac:dyDescent="0.25">
      <c r="A79">
        <f>IF($D79="","","TXN-"&amp;TEXT(ROW()-3,"0000"))</f>
      </c>
      <c r="E79">
        <f>IF($D79="","",IFERROR(VLOOKUP($D79,Products!$A:$C,2,FALSE),""))</f>
      </c>
      <c r="F79" s="4"/>
      <c r="G79" s="5">
        <f>IF($D79="","",IFERROR(VLOOKUP($D79,Products!$A:$C,3,FALSE),""))</f>
      </c>
      <c r="H79" s="5">
        <f>IF(OR($D79="",$F79=""),"",$F79*$G79)</f>
      </c>
    </row>
    <row r="80" spans="1:8" x14ac:dyDescent="0.25">
      <c r="A80">
        <f>IF($D80="","","TXN-"&amp;TEXT(ROW()-3,"0000"))</f>
      </c>
      <c r="E80">
        <f>IF($D80="","",IFERROR(VLOOKUP($D80,Products!$A:$C,2,FALSE),""))</f>
      </c>
      <c r="F80" s="4"/>
      <c r="G80" s="5">
        <f>IF($D80="","",IFERROR(VLOOKUP($D80,Products!$A:$C,3,FALSE),""))</f>
      </c>
      <c r="H80" s="5">
        <f>IF(OR($D80="",$F80=""),"",$F80*$G80)</f>
      </c>
    </row>
    <row r="81" spans="1:8" x14ac:dyDescent="0.25">
      <c r="A81">
        <f>IF($D81="","","TXN-"&amp;TEXT(ROW()-3,"0000"))</f>
      </c>
      <c r="E81">
        <f>IF($D81="","",IFERROR(VLOOKUP($D81,Products!$A:$C,2,FALSE),""))</f>
      </c>
      <c r="F81" s="4"/>
      <c r="G81" s="5">
        <f>IF($D81="","",IFERROR(VLOOKUP($D81,Products!$A:$C,3,FALSE),""))</f>
      </c>
      <c r="H81" s="5">
        <f>IF(OR($D81="",$F81=""),"",$F81*$G81)</f>
      </c>
    </row>
    <row r="82" spans="1:8" x14ac:dyDescent="0.25">
      <c r="A82">
        <f>IF($D82="","","TXN-"&amp;TEXT(ROW()-3,"0000"))</f>
      </c>
      <c r="E82">
        <f>IF($D82="","",IFERROR(VLOOKUP($D82,Products!$A:$C,2,FALSE),""))</f>
      </c>
      <c r="F82" s="4"/>
      <c r="G82" s="5">
        <f>IF($D82="","",IFERROR(VLOOKUP($D82,Products!$A:$C,3,FALSE),""))</f>
      </c>
      <c r="H82" s="5">
        <f>IF(OR($D82="",$F82=""),"",$F82*$G82)</f>
      </c>
    </row>
    <row r="83" spans="1:8" x14ac:dyDescent="0.25">
      <c r="A83">
        <f>IF($D83="","","TXN-"&amp;TEXT(ROW()-3,"0000"))</f>
      </c>
      <c r="E83">
        <f>IF($D83="","",IFERROR(VLOOKUP($D83,Products!$A:$C,2,FALSE),""))</f>
      </c>
      <c r="F83" s="4"/>
      <c r="G83" s="5">
        <f>IF($D83="","",IFERROR(VLOOKUP($D83,Products!$A:$C,3,FALSE),""))</f>
      </c>
      <c r="H83" s="5">
        <f>IF(OR($D83="",$F83=""),"",$F83*$G83)</f>
      </c>
    </row>
    <row r="84" spans="1:8" x14ac:dyDescent="0.25">
      <c r="A84">
        <f>IF($D84="","","TXN-"&amp;TEXT(ROW()-3,"0000"))</f>
      </c>
      <c r="E84">
        <f>IF($D84="","",IFERROR(VLOOKUP($D84,Products!$A:$C,2,FALSE),""))</f>
      </c>
      <c r="F84" s="4"/>
      <c r="G84" s="5">
        <f>IF($D84="","",IFERROR(VLOOKUP($D84,Products!$A:$C,3,FALSE),""))</f>
      </c>
      <c r="H84" s="5">
        <f>IF(OR($D84="",$F84=""),"",$F84*$G84)</f>
      </c>
    </row>
    <row r="85" spans="1:8" x14ac:dyDescent="0.25">
      <c r="A85">
        <f>IF($D85="","","TXN-"&amp;TEXT(ROW()-3,"0000"))</f>
      </c>
      <c r="E85">
        <f>IF($D85="","",IFERROR(VLOOKUP($D85,Products!$A:$C,2,FALSE),""))</f>
      </c>
      <c r="F85" s="4"/>
      <c r="G85" s="5">
        <f>IF($D85="","",IFERROR(VLOOKUP($D85,Products!$A:$C,3,FALSE),""))</f>
      </c>
      <c r="H85" s="5">
        <f>IF(OR($D85="",$F85=""),"",$F85*$G85)</f>
      </c>
    </row>
    <row r="86" spans="1:8" x14ac:dyDescent="0.25">
      <c r="A86">
        <f>IF($D86="","","TXN-"&amp;TEXT(ROW()-3,"0000"))</f>
      </c>
      <c r="E86">
        <f>IF($D86="","",IFERROR(VLOOKUP($D86,Products!$A:$C,2,FALSE),""))</f>
      </c>
      <c r="F86" s="4"/>
      <c r="G86" s="5">
        <f>IF($D86="","",IFERROR(VLOOKUP($D86,Products!$A:$C,3,FALSE),""))</f>
      </c>
      <c r="H86" s="5">
        <f>IF(OR($D86="",$F86=""),"",$F86*$G86)</f>
      </c>
    </row>
    <row r="87" spans="1:8" x14ac:dyDescent="0.25">
      <c r="A87">
        <f>IF($D87="","","TXN-"&amp;TEXT(ROW()-3,"0000"))</f>
      </c>
      <c r="E87">
        <f>IF($D87="","",IFERROR(VLOOKUP($D87,Products!$A:$C,2,FALSE),""))</f>
      </c>
      <c r="F87" s="4"/>
      <c r="G87" s="5">
        <f>IF($D87="","",IFERROR(VLOOKUP($D87,Products!$A:$C,3,FALSE),""))</f>
      </c>
      <c r="H87" s="5">
        <f>IF(OR($D87="",$F87=""),"",$F87*$G87)</f>
      </c>
    </row>
    <row r="88" spans="1:8" x14ac:dyDescent="0.25">
      <c r="A88">
        <f>IF($D88="","","TXN-"&amp;TEXT(ROW()-3,"0000"))</f>
      </c>
      <c r="E88">
        <f>IF($D88="","",IFERROR(VLOOKUP($D88,Products!$A:$C,2,FALSE),""))</f>
      </c>
      <c r="F88" s="4"/>
      <c r="G88" s="5">
        <f>IF($D88="","",IFERROR(VLOOKUP($D88,Products!$A:$C,3,FALSE),""))</f>
      </c>
      <c r="H88" s="5">
        <f>IF(OR($D88="",$F88=""),"",$F88*$G88)</f>
      </c>
    </row>
    <row r="89" spans="1:8" x14ac:dyDescent="0.25">
      <c r="A89">
        <f>IF($D89="","","TXN-"&amp;TEXT(ROW()-3,"0000"))</f>
      </c>
      <c r="E89">
        <f>IF($D89="","",IFERROR(VLOOKUP($D89,Products!$A:$C,2,FALSE),""))</f>
      </c>
      <c r="F89" s="4"/>
      <c r="G89" s="5">
        <f>IF($D89="","",IFERROR(VLOOKUP($D89,Products!$A:$C,3,FALSE),""))</f>
      </c>
      <c r="H89" s="5">
        <f>IF(OR($D89="",$F89=""),"",$F89*$G89)</f>
      </c>
    </row>
    <row r="90" spans="1:8" x14ac:dyDescent="0.25">
      <c r="A90">
        <f>IF($D90="","","TXN-"&amp;TEXT(ROW()-3,"0000"))</f>
      </c>
      <c r="E90">
        <f>IF($D90="","",IFERROR(VLOOKUP($D90,Products!$A:$C,2,FALSE),""))</f>
      </c>
      <c r="F90" s="4"/>
      <c r="G90" s="5">
        <f>IF($D90="","",IFERROR(VLOOKUP($D90,Products!$A:$C,3,FALSE),""))</f>
      </c>
      <c r="H90" s="5">
        <f>IF(OR($D90="",$F90=""),"",$F90*$G90)</f>
      </c>
    </row>
    <row r="91" spans="1:8" x14ac:dyDescent="0.25">
      <c r="A91">
        <f>IF($D91="","","TXN-"&amp;TEXT(ROW()-3,"0000"))</f>
      </c>
      <c r="E91">
        <f>IF($D91="","",IFERROR(VLOOKUP($D91,Products!$A:$C,2,FALSE),""))</f>
      </c>
      <c r="F91" s="4"/>
      <c r="G91" s="5">
        <f>IF($D91="","",IFERROR(VLOOKUP($D91,Products!$A:$C,3,FALSE),""))</f>
      </c>
      <c r="H91" s="5">
        <f>IF(OR($D91="",$F91=""),"",$F91*$G91)</f>
      </c>
    </row>
    <row r="92" spans="1:8" x14ac:dyDescent="0.25">
      <c r="A92">
        <f>IF($D92="","","TXN-"&amp;TEXT(ROW()-3,"0000"))</f>
      </c>
      <c r="E92">
        <f>IF($D92="","",IFERROR(VLOOKUP($D92,Products!$A:$C,2,FALSE),""))</f>
      </c>
      <c r="F92" s="4"/>
      <c r="G92" s="5">
        <f>IF($D92="","",IFERROR(VLOOKUP($D92,Products!$A:$C,3,FALSE),""))</f>
      </c>
      <c r="H92" s="5">
        <f>IF(OR($D92="",$F92=""),"",$F92*$G92)</f>
      </c>
    </row>
    <row r="93" spans="1:8" x14ac:dyDescent="0.25">
      <c r="A93">
        <f>IF($D93="","","TXN-"&amp;TEXT(ROW()-3,"0000"))</f>
      </c>
      <c r="E93">
        <f>IF($D93="","",IFERROR(VLOOKUP($D93,Products!$A:$C,2,FALSE),""))</f>
      </c>
      <c r="F93" s="4"/>
      <c r="G93" s="5">
        <f>IF($D93="","",IFERROR(VLOOKUP($D93,Products!$A:$C,3,FALSE),""))</f>
      </c>
      <c r="H93" s="5">
        <f>IF(OR($D93="",$F93=""),"",$F93*$G93)</f>
      </c>
    </row>
    <row r="94" spans="1:8" x14ac:dyDescent="0.25">
      <c r="A94">
        <f>IF($D94="","","TXN-"&amp;TEXT(ROW()-3,"0000"))</f>
      </c>
      <c r="E94">
        <f>IF($D94="","",IFERROR(VLOOKUP($D94,Products!$A:$C,2,FALSE),""))</f>
      </c>
      <c r="F94" s="4"/>
      <c r="G94" s="5">
        <f>IF($D94="","",IFERROR(VLOOKUP($D94,Products!$A:$C,3,FALSE),""))</f>
      </c>
      <c r="H94" s="5">
        <f>IF(OR($D94="",$F94=""),"",$F94*$G94)</f>
      </c>
    </row>
    <row r="95" spans="1:8" x14ac:dyDescent="0.25">
      <c r="A95">
        <f>IF($D95="","","TXN-"&amp;TEXT(ROW()-3,"0000"))</f>
      </c>
      <c r="E95">
        <f>IF($D95="","",IFERROR(VLOOKUP($D95,Products!$A:$C,2,FALSE),""))</f>
      </c>
      <c r="F95" s="4"/>
      <c r="G95" s="5">
        <f>IF($D95="","",IFERROR(VLOOKUP($D95,Products!$A:$C,3,FALSE),""))</f>
      </c>
      <c r="H95" s="5">
        <f>IF(OR($D95="",$F95=""),"",$F95*$G95)</f>
      </c>
    </row>
    <row r="96" spans="1:8" x14ac:dyDescent="0.25">
      <c r="A96">
        <f>IF($D96="","","TXN-"&amp;TEXT(ROW()-3,"0000"))</f>
      </c>
      <c r="E96">
        <f>IF($D96="","",IFERROR(VLOOKUP($D96,Products!$A:$C,2,FALSE),""))</f>
      </c>
      <c r="F96" s="4"/>
      <c r="G96" s="5">
        <f>IF($D96="","",IFERROR(VLOOKUP($D96,Products!$A:$C,3,FALSE),""))</f>
      </c>
      <c r="H96" s="5">
        <f>IF(OR($D96="",$F96=""),"",$F96*$G96)</f>
      </c>
    </row>
    <row r="97" spans="1:8" x14ac:dyDescent="0.25">
      <c r="A97">
        <f>IF($D97="","","TXN-"&amp;TEXT(ROW()-3,"0000"))</f>
      </c>
      <c r="E97">
        <f>IF($D97="","",IFERROR(VLOOKUP($D97,Products!$A:$C,2,FALSE),""))</f>
      </c>
      <c r="F97" s="4"/>
      <c r="G97" s="5">
        <f>IF($D97="","",IFERROR(VLOOKUP($D97,Products!$A:$C,3,FALSE),""))</f>
      </c>
      <c r="H97" s="5">
        <f>IF(OR($D97="",$F97=""),"",$F97*$G97)</f>
      </c>
    </row>
    <row r="98" spans="1:8" x14ac:dyDescent="0.25">
      <c r="A98">
        <f>IF($D98="","","TXN-"&amp;TEXT(ROW()-3,"0000"))</f>
      </c>
      <c r="E98">
        <f>IF($D98="","",IFERROR(VLOOKUP($D98,Products!$A:$C,2,FALSE),""))</f>
      </c>
      <c r="F98" s="4"/>
      <c r="G98" s="5">
        <f>IF($D98="","",IFERROR(VLOOKUP($D98,Products!$A:$C,3,FALSE),""))</f>
      </c>
      <c r="H98" s="5">
        <f>IF(OR($D98="",$F98=""),"",$F98*$G98)</f>
      </c>
    </row>
    <row r="99" spans="1:8" x14ac:dyDescent="0.25">
      <c r="A99">
        <f>IF($D99="","","TXN-"&amp;TEXT(ROW()-3,"0000"))</f>
      </c>
      <c r="E99">
        <f>IF($D99="","",IFERROR(VLOOKUP($D99,Products!$A:$C,2,FALSE),""))</f>
      </c>
      <c r="F99" s="4"/>
      <c r="G99" s="5">
        <f>IF($D99="","",IFERROR(VLOOKUP($D99,Products!$A:$C,3,FALSE),""))</f>
      </c>
      <c r="H99" s="5">
        <f>IF(OR($D99="",$F99=""),"",$F99*$G99)</f>
      </c>
    </row>
    <row r="100" spans="1:8" x14ac:dyDescent="0.25">
      <c r="A100">
        <f>IF($D100="","","TXN-"&amp;TEXT(ROW()-3,"0000"))</f>
      </c>
      <c r="E100">
        <f>IF($D100="","",IFERROR(VLOOKUP($D100,Products!$A:$C,2,FALSE),""))</f>
      </c>
      <c r="F100" s="4"/>
      <c r="G100" s="5">
        <f>IF($D100="","",IFERROR(VLOOKUP($D100,Products!$A:$C,3,FALSE),""))</f>
      </c>
      <c r="H100" s="5">
        <f>IF(OR($D100="",$F100=""),"",$F100*$G100)</f>
      </c>
    </row>
    <row r="101" spans="1:8" x14ac:dyDescent="0.25">
      <c r="A101">
        <f>IF($D101="","","TXN-"&amp;TEXT(ROW()-3,"0000"))</f>
      </c>
      <c r="E101">
        <f>IF($D101="","",IFERROR(VLOOKUP($D101,Products!$A:$C,2,FALSE),""))</f>
      </c>
      <c r="F101" s="4"/>
      <c r="G101" s="5">
        <f>IF($D101="","",IFERROR(VLOOKUP($D101,Products!$A:$C,3,FALSE),""))</f>
      </c>
      <c r="H101" s="5">
        <f>IF(OR($D101="",$F101=""),"",$F101*$G101)</f>
      </c>
    </row>
    <row r="102" spans="1:8" x14ac:dyDescent="0.25">
      <c r="A102">
        <f>IF($D102="","","TXN-"&amp;TEXT(ROW()-3,"0000"))</f>
      </c>
      <c r="E102">
        <f>IF($D102="","",IFERROR(VLOOKUP($D102,Products!$A:$C,2,FALSE),""))</f>
      </c>
      <c r="F102" s="4"/>
      <c r="G102" s="5">
        <f>IF($D102="","",IFERROR(VLOOKUP($D102,Products!$A:$C,3,FALSE),""))</f>
      </c>
      <c r="H102" s="5">
        <f>IF(OR($D102="",$F102=""),"",$F102*$G102)</f>
      </c>
    </row>
    <row r="103" spans="1:8" x14ac:dyDescent="0.25">
      <c r="A103">
        <f>IF($D103="","","TXN-"&amp;TEXT(ROW()-3,"0000"))</f>
      </c>
      <c r="E103">
        <f>IF($D103="","",IFERROR(VLOOKUP($D103,Products!$A:$C,2,FALSE),""))</f>
      </c>
      <c r="F103" s="4"/>
      <c r="G103" s="5">
        <f>IF($D103="","",IFERROR(VLOOKUP($D103,Products!$A:$C,3,FALSE),""))</f>
      </c>
      <c r="H103" s="5">
        <f>IF(OR($D103="",$F103=""),"",$F103*$G103)</f>
      </c>
    </row>
    <row r="104" spans="1:8" x14ac:dyDescent="0.25">
      <c r="A104">
        <f>IF($D104="","","TXN-"&amp;TEXT(ROW()-3,"0000"))</f>
      </c>
      <c r="E104">
        <f>IF($D104="","",IFERROR(VLOOKUP($D104,Products!$A:$C,2,FALSE),""))</f>
      </c>
      <c r="F104" s="4"/>
      <c r="G104" s="5">
        <f>IF($D104="","",IFERROR(VLOOKUP($D104,Products!$A:$C,3,FALSE),""))</f>
      </c>
      <c r="H104" s="5">
        <f>IF(OR($D104="",$F104=""),"",$F104*$G104)</f>
      </c>
    </row>
    <row r="105" spans="1:8" x14ac:dyDescent="0.25">
      <c r="A105">
        <f>IF($D105="","","TXN-"&amp;TEXT(ROW()-3,"0000"))</f>
      </c>
      <c r="E105">
        <f>IF($D105="","",IFERROR(VLOOKUP($D105,Products!$A:$C,2,FALSE),""))</f>
      </c>
      <c r="F105" s="4"/>
      <c r="G105" s="5">
        <f>IF($D105="","",IFERROR(VLOOKUP($D105,Products!$A:$C,3,FALSE),""))</f>
      </c>
      <c r="H105" s="5">
        <f>IF(OR($D105="",$F105=""),"",$F105*$G105)</f>
      </c>
    </row>
    <row r="106" spans="1:8" x14ac:dyDescent="0.25">
      <c r="A106">
        <f>IF($D106="","","TXN-"&amp;TEXT(ROW()-3,"0000"))</f>
      </c>
      <c r="E106">
        <f>IF($D106="","",IFERROR(VLOOKUP($D106,Products!$A:$C,2,FALSE),""))</f>
      </c>
      <c r="F106" s="4"/>
      <c r="G106" s="5">
        <f>IF($D106="","",IFERROR(VLOOKUP($D106,Products!$A:$C,3,FALSE),""))</f>
      </c>
      <c r="H106" s="5">
        <f>IF(OR($D106="",$F106=""),"",$F106*$G106)</f>
      </c>
    </row>
    <row r="107" spans="1:8" x14ac:dyDescent="0.25">
      <c r="A107">
        <f>IF($D107="","","TXN-"&amp;TEXT(ROW()-3,"0000"))</f>
      </c>
      <c r="E107">
        <f>IF($D107="","",IFERROR(VLOOKUP($D107,Products!$A:$C,2,FALSE),""))</f>
      </c>
      <c r="F107" s="4"/>
      <c r="G107" s="5">
        <f>IF($D107="","",IFERROR(VLOOKUP($D107,Products!$A:$C,3,FALSE),""))</f>
      </c>
      <c r="H107" s="5">
        <f>IF(OR($D107="",$F107=""),"",$F107*$G107)</f>
      </c>
    </row>
    <row r="108" spans="1:8" x14ac:dyDescent="0.25">
      <c r="A108">
        <f>IF($D108="","","TXN-"&amp;TEXT(ROW()-3,"0000"))</f>
      </c>
      <c r="E108">
        <f>IF($D108="","",IFERROR(VLOOKUP($D108,Products!$A:$C,2,FALSE),""))</f>
      </c>
      <c r="F108" s="4"/>
      <c r="G108" s="5">
        <f>IF($D108="","",IFERROR(VLOOKUP($D108,Products!$A:$C,3,FALSE),""))</f>
      </c>
      <c r="H108" s="5">
        <f>IF(OR($D108="",$F108=""),"",$F108*$G108)</f>
      </c>
    </row>
    <row r="109" spans="1:8" x14ac:dyDescent="0.25">
      <c r="A109">
        <f>IF($D109="","","TXN-"&amp;TEXT(ROW()-3,"0000"))</f>
      </c>
      <c r="E109">
        <f>IF($D109="","",IFERROR(VLOOKUP($D109,Products!$A:$C,2,FALSE),""))</f>
      </c>
      <c r="F109" s="4"/>
      <c r="G109" s="5">
        <f>IF($D109="","",IFERROR(VLOOKUP($D109,Products!$A:$C,3,FALSE),""))</f>
      </c>
      <c r="H109" s="5">
        <f>IF(OR($D109="",$F109=""),"",$F109*$G109)</f>
      </c>
    </row>
    <row r="110" spans="1:8" x14ac:dyDescent="0.25">
      <c r="A110">
        <f>IF($D110="","","TXN-"&amp;TEXT(ROW()-3,"0000"))</f>
      </c>
      <c r="E110">
        <f>IF($D110="","",IFERROR(VLOOKUP($D110,Products!$A:$C,2,FALSE),""))</f>
      </c>
      <c r="F110" s="4"/>
      <c r="G110" s="5">
        <f>IF($D110="","",IFERROR(VLOOKUP($D110,Products!$A:$C,3,FALSE),""))</f>
      </c>
      <c r="H110" s="5">
        <f>IF(OR($D110="",$F110=""),"",$F110*$G110)</f>
      </c>
    </row>
    <row r="111" spans="1:8" x14ac:dyDescent="0.25">
      <c r="A111">
        <f>IF($D111="","","TXN-"&amp;TEXT(ROW()-3,"0000"))</f>
      </c>
      <c r="E111">
        <f>IF($D111="","",IFERROR(VLOOKUP($D111,Products!$A:$C,2,FALSE),""))</f>
      </c>
      <c r="F111" s="4"/>
      <c r="G111" s="5">
        <f>IF($D111="","",IFERROR(VLOOKUP($D111,Products!$A:$C,3,FALSE),""))</f>
      </c>
      <c r="H111" s="5">
        <f>IF(OR($D111="",$F111=""),"",$F111*$G111)</f>
      </c>
    </row>
    <row r="112" spans="1:8" x14ac:dyDescent="0.25">
      <c r="A112">
        <f>IF($D112="","","TXN-"&amp;TEXT(ROW()-3,"0000"))</f>
      </c>
      <c r="E112">
        <f>IF($D112="","",IFERROR(VLOOKUP($D112,Products!$A:$C,2,FALSE),""))</f>
      </c>
      <c r="F112" s="4"/>
      <c r="G112" s="5">
        <f>IF($D112="","",IFERROR(VLOOKUP($D112,Products!$A:$C,3,FALSE),""))</f>
      </c>
      <c r="H112" s="5">
        <f>IF(OR($D112="",$F112=""),"",$F112*$G112)</f>
      </c>
    </row>
    <row r="113" spans="1:8" x14ac:dyDescent="0.25">
      <c r="A113">
        <f>IF($D113="","","TXN-"&amp;TEXT(ROW()-3,"0000"))</f>
      </c>
      <c r="E113">
        <f>IF($D113="","",IFERROR(VLOOKUP($D113,Products!$A:$C,2,FALSE),""))</f>
      </c>
      <c r="F113" s="4"/>
      <c r="G113" s="5">
        <f>IF($D113="","",IFERROR(VLOOKUP($D113,Products!$A:$C,3,FALSE),""))</f>
      </c>
      <c r="H113" s="5">
        <f>IF(OR($D113="",$F113=""),"",$F113*$G113)</f>
      </c>
    </row>
    <row r="114" spans="1:8" x14ac:dyDescent="0.25">
      <c r="A114">
        <f>IF($D114="","","TXN-"&amp;TEXT(ROW()-3,"0000"))</f>
      </c>
      <c r="E114">
        <f>IF($D114="","",IFERROR(VLOOKUP($D114,Products!$A:$C,2,FALSE),""))</f>
      </c>
      <c r="F114" s="4"/>
      <c r="G114" s="5">
        <f>IF($D114="","",IFERROR(VLOOKUP($D114,Products!$A:$C,3,FALSE),""))</f>
      </c>
      <c r="H114" s="5">
        <f>IF(OR($D114="",$F114=""),"",$F114*$G114)</f>
      </c>
    </row>
    <row r="115" spans="1:8" x14ac:dyDescent="0.25">
      <c r="A115">
        <f>IF($D115="","","TXN-"&amp;TEXT(ROW()-3,"0000"))</f>
      </c>
      <c r="E115">
        <f>IF($D115="","",IFERROR(VLOOKUP($D115,Products!$A:$C,2,FALSE),""))</f>
      </c>
      <c r="F115" s="4"/>
      <c r="G115" s="5">
        <f>IF($D115="","",IFERROR(VLOOKUP($D115,Products!$A:$C,3,FALSE),""))</f>
      </c>
      <c r="H115" s="5">
        <f>IF(OR($D115="",$F115=""),"",$F115*$G115)</f>
      </c>
    </row>
    <row r="116" spans="1:8" x14ac:dyDescent="0.25">
      <c r="A116">
        <f>IF($D116="","","TXN-"&amp;TEXT(ROW()-3,"0000"))</f>
      </c>
      <c r="E116">
        <f>IF($D116="","",IFERROR(VLOOKUP($D116,Products!$A:$C,2,FALSE),""))</f>
      </c>
      <c r="F116" s="4"/>
      <c r="G116" s="5">
        <f>IF($D116="","",IFERROR(VLOOKUP($D116,Products!$A:$C,3,FALSE),""))</f>
      </c>
      <c r="H116" s="5">
        <f>IF(OR($D116="",$F116=""),"",$F116*$G116)</f>
      </c>
    </row>
    <row r="117" spans="1:8" x14ac:dyDescent="0.25">
      <c r="A117">
        <f>IF($D117="","","TXN-"&amp;TEXT(ROW()-3,"0000"))</f>
      </c>
      <c r="E117">
        <f>IF($D117="","",IFERROR(VLOOKUP($D117,Products!$A:$C,2,FALSE),""))</f>
      </c>
      <c r="F117" s="4"/>
      <c r="G117" s="5">
        <f>IF($D117="","",IFERROR(VLOOKUP($D117,Products!$A:$C,3,FALSE),""))</f>
      </c>
      <c r="H117" s="5">
        <f>IF(OR($D117="",$F117=""),"",$F117*$G117)</f>
      </c>
    </row>
    <row r="118" spans="1:8" x14ac:dyDescent="0.25">
      <c r="A118">
        <f>IF($D118="","","TXN-"&amp;TEXT(ROW()-3,"0000"))</f>
      </c>
      <c r="E118">
        <f>IF($D118="","",IFERROR(VLOOKUP($D118,Products!$A:$C,2,FALSE),""))</f>
      </c>
      <c r="F118" s="4"/>
      <c r="G118" s="5">
        <f>IF($D118="","",IFERROR(VLOOKUP($D118,Products!$A:$C,3,FALSE),""))</f>
      </c>
      <c r="H118" s="5">
        <f>IF(OR($D118="",$F118=""),"",$F118*$G118)</f>
      </c>
    </row>
    <row r="119" spans="1:8" x14ac:dyDescent="0.25">
      <c r="A119">
        <f>IF($D119="","","TXN-"&amp;TEXT(ROW()-3,"0000"))</f>
      </c>
      <c r="E119">
        <f>IF($D119="","",IFERROR(VLOOKUP($D119,Products!$A:$C,2,FALSE),""))</f>
      </c>
      <c r="F119" s="4"/>
      <c r="G119" s="5">
        <f>IF($D119="","",IFERROR(VLOOKUP($D119,Products!$A:$C,3,FALSE),""))</f>
      </c>
      <c r="H119" s="5">
        <f>IF(OR($D119="",$F119=""),"",$F119*$G119)</f>
      </c>
    </row>
    <row r="120" spans="1:8" x14ac:dyDescent="0.25">
      <c r="A120">
        <f>IF($D120="","","TXN-"&amp;TEXT(ROW()-3,"0000"))</f>
      </c>
      <c r="E120">
        <f>IF($D120="","",IFERROR(VLOOKUP($D120,Products!$A:$C,2,FALSE),""))</f>
      </c>
      <c r="F120" s="4"/>
      <c r="G120" s="5">
        <f>IF($D120="","",IFERROR(VLOOKUP($D120,Products!$A:$C,3,FALSE),""))</f>
      </c>
      <c r="H120" s="5">
        <f>IF(OR($D120="",$F120=""),"",$F120*$G120)</f>
      </c>
    </row>
    <row r="121" spans="1:8" x14ac:dyDescent="0.25">
      <c r="A121">
        <f>IF($D121="","","TXN-"&amp;TEXT(ROW()-3,"0000"))</f>
      </c>
      <c r="E121">
        <f>IF($D121="","",IFERROR(VLOOKUP($D121,Products!$A:$C,2,FALSE),""))</f>
      </c>
      <c r="F121" s="4"/>
      <c r="G121" s="5">
        <f>IF($D121="","",IFERROR(VLOOKUP($D121,Products!$A:$C,3,FALSE),""))</f>
      </c>
      <c r="H121" s="5">
        <f>IF(OR($D121="",$F121=""),"",$F121*$G121)</f>
      </c>
    </row>
    <row r="122" spans="1:8" x14ac:dyDescent="0.25">
      <c r="A122">
        <f>IF($D122="","","TXN-"&amp;TEXT(ROW()-3,"0000"))</f>
      </c>
      <c r="E122">
        <f>IF($D122="","",IFERROR(VLOOKUP($D122,Products!$A:$C,2,FALSE),""))</f>
      </c>
      <c r="F122" s="4"/>
      <c r="G122" s="5">
        <f>IF($D122="","",IFERROR(VLOOKUP($D122,Products!$A:$C,3,FALSE),""))</f>
      </c>
      <c r="H122" s="5">
        <f>IF(OR($D122="",$F122=""),"",$F122*$G122)</f>
      </c>
    </row>
    <row r="123" spans="1:8" x14ac:dyDescent="0.25">
      <c r="A123">
        <f>IF($D123="","","TXN-"&amp;TEXT(ROW()-3,"0000"))</f>
      </c>
      <c r="E123">
        <f>IF($D123="","",IFERROR(VLOOKUP($D123,Products!$A:$C,2,FALSE),""))</f>
      </c>
      <c r="F123" s="4"/>
      <c r="G123" s="5">
        <f>IF($D123="","",IFERROR(VLOOKUP($D123,Products!$A:$C,3,FALSE),""))</f>
      </c>
      <c r="H123" s="5">
        <f>IF(OR($D123="",$F123=""),"",$F123*$G123)</f>
      </c>
    </row>
    <row r="124" spans="1:8" x14ac:dyDescent="0.25">
      <c r="A124">
        <f>IF($D124="","","TXN-"&amp;TEXT(ROW()-3,"0000"))</f>
      </c>
      <c r="E124">
        <f>IF($D124="","",IFERROR(VLOOKUP($D124,Products!$A:$C,2,FALSE),""))</f>
      </c>
      <c r="F124" s="4"/>
      <c r="G124" s="5">
        <f>IF($D124="","",IFERROR(VLOOKUP($D124,Products!$A:$C,3,FALSE),""))</f>
      </c>
      <c r="H124" s="5">
        <f>IF(OR($D124="",$F124=""),"",$F124*$G124)</f>
      </c>
    </row>
    <row r="125" spans="1:8" x14ac:dyDescent="0.25">
      <c r="A125">
        <f>IF($D125="","","TXN-"&amp;TEXT(ROW()-3,"0000"))</f>
      </c>
      <c r="E125">
        <f>IF($D125="","",IFERROR(VLOOKUP($D125,Products!$A:$C,2,FALSE),""))</f>
      </c>
      <c r="F125" s="4"/>
      <c r="G125" s="5">
        <f>IF($D125="","",IFERROR(VLOOKUP($D125,Products!$A:$C,3,FALSE),""))</f>
      </c>
      <c r="H125" s="5">
        <f>IF(OR($D125="",$F125=""),"",$F125*$G125)</f>
      </c>
    </row>
    <row r="126" spans="1:8" x14ac:dyDescent="0.25">
      <c r="A126">
        <f>IF($D126="","","TXN-"&amp;TEXT(ROW()-3,"0000"))</f>
      </c>
      <c r="E126">
        <f>IF($D126="","",IFERROR(VLOOKUP($D126,Products!$A:$C,2,FALSE),""))</f>
      </c>
      <c r="F126" s="4"/>
      <c r="G126" s="5">
        <f>IF($D126="","",IFERROR(VLOOKUP($D126,Products!$A:$C,3,FALSE),""))</f>
      </c>
      <c r="H126" s="5">
        <f>IF(OR($D126="",$F126=""),"",$F126*$G126)</f>
      </c>
    </row>
    <row r="127" spans="1:8" x14ac:dyDescent="0.25">
      <c r="A127">
        <f>IF($D127="","","TXN-"&amp;TEXT(ROW()-3,"0000"))</f>
      </c>
      <c r="E127">
        <f>IF($D127="","",IFERROR(VLOOKUP($D127,Products!$A:$C,2,FALSE),""))</f>
      </c>
      <c r="F127" s="4"/>
      <c r="G127" s="5">
        <f>IF($D127="","",IFERROR(VLOOKUP($D127,Products!$A:$C,3,FALSE),""))</f>
      </c>
      <c r="H127" s="5">
        <f>IF(OR($D127="",$F127=""),"",$F127*$G127)</f>
      </c>
    </row>
    <row r="128" spans="1:8" x14ac:dyDescent="0.25">
      <c r="A128">
        <f>IF($D128="","","TXN-"&amp;TEXT(ROW()-3,"0000"))</f>
      </c>
      <c r="E128">
        <f>IF($D128="","",IFERROR(VLOOKUP($D128,Products!$A:$C,2,FALSE),""))</f>
      </c>
      <c r="F128" s="4"/>
      <c r="G128" s="5">
        <f>IF($D128="","",IFERROR(VLOOKUP($D128,Products!$A:$C,3,FALSE),""))</f>
      </c>
      <c r="H128" s="5">
        <f>IF(OR($D128="",$F128=""),"",$F128*$G128)</f>
      </c>
    </row>
    <row r="129" spans="1:8" x14ac:dyDescent="0.25">
      <c r="A129">
        <f>IF($D129="","","TXN-"&amp;TEXT(ROW()-3,"0000"))</f>
      </c>
      <c r="E129">
        <f>IF($D129="","",IFERROR(VLOOKUP($D129,Products!$A:$C,2,FALSE),""))</f>
      </c>
      <c r="F129" s="4"/>
      <c r="G129" s="5">
        <f>IF($D129="","",IFERROR(VLOOKUP($D129,Products!$A:$C,3,FALSE),""))</f>
      </c>
      <c r="H129" s="5">
        <f>IF(OR($D129="",$F129=""),"",$F129*$G129)</f>
      </c>
    </row>
    <row r="130" spans="1:8" x14ac:dyDescent="0.25">
      <c r="A130">
        <f>IF($D130="","","TXN-"&amp;TEXT(ROW()-3,"0000"))</f>
      </c>
      <c r="E130">
        <f>IF($D130="","",IFERROR(VLOOKUP($D130,Products!$A:$C,2,FALSE),""))</f>
      </c>
      <c r="F130" s="4"/>
      <c r="G130" s="5">
        <f>IF($D130="","",IFERROR(VLOOKUP($D130,Products!$A:$C,3,FALSE),""))</f>
      </c>
      <c r="H130" s="5">
        <f>IF(OR($D130="",$F130=""),"",$F130*$G130)</f>
      </c>
    </row>
    <row r="131" spans="1:8" x14ac:dyDescent="0.25">
      <c r="A131">
        <f>IF($D131="","","TXN-"&amp;TEXT(ROW()-3,"0000"))</f>
      </c>
      <c r="E131">
        <f>IF($D131="","",IFERROR(VLOOKUP($D131,Products!$A:$C,2,FALSE),""))</f>
      </c>
      <c r="F131" s="4"/>
      <c r="G131" s="5">
        <f>IF($D131="","",IFERROR(VLOOKUP($D131,Products!$A:$C,3,FALSE),""))</f>
      </c>
      <c r="H131" s="5">
        <f>IF(OR($D131="",$F131=""),"",$F131*$G131)</f>
      </c>
    </row>
    <row r="132" spans="1:8" x14ac:dyDescent="0.25">
      <c r="A132">
        <f>IF($D132="","","TXN-"&amp;TEXT(ROW()-3,"0000"))</f>
      </c>
      <c r="E132">
        <f>IF($D132="","",IFERROR(VLOOKUP($D132,Products!$A:$C,2,FALSE),""))</f>
      </c>
      <c r="F132" s="4"/>
      <c r="G132" s="5">
        <f>IF($D132="","",IFERROR(VLOOKUP($D132,Products!$A:$C,3,FALSE),""))</f>
      </c>
      <c r="H132" s="5">
        <f>IF(OR($D132="",$F132=""),"",$F132*$G132)</f>
      </c>
    </row>
    <row r="133" spans="1:8" x14ac:dyDescent="0.25">
      <c r="A133">
        <f>IF($D133="","","TXN-"&amp;TEXT(ROW()-3,"0000"))</f>
      </c>
      <c r="E133">
        <f>IF($D133="","",IFERROR(VLOOKUP($D133,Products!$A:$C,2,FALSE),""))</f>
      </c>
      <c r="F133" s="4"/>
      <c r="G133" s="5">
        <f>IF($D133="","",IFERROR(VLOOKUP($D133,Products!$A:$C,3,FALSE),""))</f>
      </c>
      <c r="H133" s="5">
        <f>IF(OR($D133="",$F133=""),"",$F133*$G133)</f>
      </c>
    </row>
    <row r="134" spans="1:8" x14ac:dyDescent="0.25">
      <c r="A134">
        <f>IF($D134="","","TXN-"&amp;TEXT(ROW()-3,"0000"))</f>
      </c>
      <c r="E134">
        <f>IF($D134="","",IFERROR(VLOOKUP($D134,Products!$A:$C,2,FALSE),""))</f>
      </c>
      <c r="F134" s="4"/>
      <c r="G134" s="5">
        <f>IF($D134="","",IFERROR(VLOOKUP($D134,Products!$A:$C,3,FALSE),""))</f>
      </c>
      <c r="H134" s="5">
        <f>IF(OR($D134="",$F134=""),"",$F134*$G134)</f>
      </c>
    </row>
    <row r="135" spans="1:8" x14ac:dyDescent="0.25">
      <c r="A135">
        <f>IF($D135="","","TXN-"&amp;TEXT(ROW()-3,"0000"))</f>
      </c>
      <c r="E135">
        <f>IF($D135="","",IFERROR(VLOOKUP($D135,Products!$A:$C,2,FALSE),""))</f>
      </c>
      <c r="F135" s="4"/>
      <c r="G135" s="5">
        <f>IF($D135="","",IFERROR(VLOOKUP($D135,Products!$A:$C,3,FALSE),""))</f>
      </c>
      <c r="H135" s="5">
        <f>IF(OR($D135="",$F135=""),"",$F135*$G135)</f>
      </c>
    </row>
    <row r="136" spans="1:8" x14ac:dyDescent="0.25">
      <c r="A136">
        <f>IF($D136="","","TXN-"&amp;TEXT(ROW()-3,"0000"))</f>
      </c>
      <c r="E136">
        <f>IF($D136="","",IFERROR(VLOOKUP($D136,Products!$A:$C,2,FALSE),""))</f>
      </c>
      <c r="F136" s="4"/>
      <c r="G136" s="5">
        <f>IF($D136="","",IFERROR(VLOOKUP($D136,Products!$A:$C,3,FALSE),""))</f>
      </c>
      <c r="H136" s="5">
        <f>IF(OR($D136="",$F136=""),"",$F136*$G136)</f>
      </c>
    </row>
    <row r="137" spans="1:8" x14ac:dyDescent="0.25">
      <c r="A137">
        <f>IF($D137="","","TXN-"&amp;TEXT(ROW()-3,"0000"))</f>
      </c>
      <c r="E137">
        <f>IF($D137="","",IFERROR(VLOOKUP($D137,Products!$A:$C,2,FALSE),""))</f>
      </c>
      <c r="F137" s="4"/>
      <c r="G137" s="5">
        <f>IF($D137="","",IFERROR(VLOOKUP($D137,Products!$A:$C,3,FALSE),""))</f>
      </c>
      <c r="H137" s="5">
        <f>IF(OR($D137="",$F137=""),"",$F137*$G137)</f>
      </c>
    </row>
    <row r="138" spans="1:8" x14ac:dyDescent="0.25">
      <c r="A138">
        <f>IF($D138="","","TXN-"&amp;TEXT(ROW()-3,"0000"))</f>
      </c>
      <c r="E138">
        <f>IF($D138="","",IFERROR(VLOOKUP($D138,Products!$A:$C,2,FALSE),""))</f>
      </c>
      <c r="F138" s="4"/>
      <c r="G138" s="5">
        <f>IF($D138="","",IFERROR(VLOOKUP($D138,Products!$A:$C,3,FALSE),""))</f>
      </c>
      <c r="H138" s="5">
        <f>IF(OR($D138="",$F138=""),"",$F138*$G138)</f>
      </c>
    </row>
    <row r="139" spans="1:8" x14ac:dyDescent="0.25">
      <c r="A139">
        <f>IF($D139="","","TXN-"&amp;TEXT(ROW()-3,"0000"))</f>
      </c>
      <c r="E139">
        <f>IF($D139="","",IFERROR(VLOOKUP($D139,Products!$A:$C,2,FALSE),""))</f>
      </c>
      <c r="F139" s="4"/>
      <c r="G139" s="5">
        <f>IF($D139="","",IFERROR(VLOOKUP($D139,Products!$A:$C,3,FALSE),""))</f>
      </c>
      <c r="H139" s="5">
        <f>IF(OR($D139="",$F139=""),"",$F139*$G139)</f>
      </c>
    </row>
    <row r="140" spans="1:8" x14ac:dyDescent="0.25">
      <c r="A140">
        <f>IF($D140="","","TXN-"&amp;TEXT(ROW()-3,"0000"))</f>
      </c>
      <c r="E140">
        <f>IF($D140="","",IFERROR(VLOOKUP($D140,Products!$A:$C,2,FALSE),""))</f>
      </c>
      <c r="F140" s="4"/>
      <c r="G140" s="5">
        <f>IF($D140="","",IFERROR(VLOOKUP($D140,Products!$A:$C,3,FALSE),""))</f>
      </c>
      <c r="H140" s="5">
        <f>IF(OR($D140="",$F140=""),"",$F140*$G140)</f>
      </c>
    </row>
    <row r="141" spans="1:8" x14ac:dyDescent="0.25">
      <c r="A141">
        <f>IF($D141="","","TXN-"&amp;TEXT(ROW()-3,"0000"))</f>
      </c>
      <c r="E141">
        <f>IF($D141="","",IFERROR(VLOOKUP($D141,Products!$A:$C,2,FALSE),""))</f>
      </c>
      <c r="F141" s="4"/>
      <c r="G141" s="5">
        <f>IF($D141="","",IFERROR(VLOOKUP($D141,Products!$A:$C,3,FALSE),""))</f>
      </c>
      <c r="H141" s="5">
        <f>IF(OR($D141="",$F141=""),"",$F141*$G141)</f>
      </c>
    </row>
    <row r="142" spans="1:8" x14ac:dyDescent="0.25">
      <c r="A142">
        <f>IF($D142="","","TXN-"&amp;TEXT(ROW()-3,"0000"))</f>
      </c>
      <c r="E142">
        <f>IF($D142="","",IFERROR(VLOOKUP($D142,Products!$A:$C,2,FALSE),""))</f>
      </c>
      <c r="F142" s="4"/>
      <c r="G142" s="5">
        <f>IF($D142="","",IFERROR(VLOOKUP($D142,Products!$A:$C,3,FALSE),""))</f>
      </c>
      <c r="H142" s="5">
        <f>IF(OR($D142="",$F142=""),"",$F142*$G142)</f>
      </c>
    </row>
    <row r="143" spans="1:8" x14ac:dyDescent="0.25">
      <c r="A143">
        <f>IF($D143="","","TXN-"&amp;TEXT(ROW()-3,"0000"))</f>
      </c>
      <c r="E143">
        <f>IF($D143="","",IFERROR(VLOOKUP($D143,Products!$A:$C,2,FALSE),""))</f>
      </c>
      <c r="F143" s="4"/>
      <c r="G143" s="5">
        <f>IF($D143="","",IFERROR(VLOOKUP($D143,Products!$A:$C,3,FALSE),""))</f>
      </c>
      <c r="H143" s="5">
        <f>IF(OR($D143="",$F143=""),"",$F143*$G143)</f>
      </c>
    </row>
    <row r="144" spans="1:8" x14ac:dyDescent="0.25">
      <c r="A144">
        <f>IF($D144="","","TXN-"&amp;TEXT(ROW()-3,"0000"))</f>
      </c>
      <c r="E144">
        <f>IF($D144="","",IFERROR(VLOOKUP($D144,Products!$A:$C,2,FALSE),""))</f>
      </c>
      <c r="F144" s="4"/>
      <c r="G144" s="5">
        <f>IF($D144="","",IFERROR(VLOOKUP($D144,Products!$A:$C,3,FALSE),""))</f>
      </c>
      <c r="H144" s="5">
        <f>IF(OR($D144="",$F144=""),"",$F144*$G144)</f>
      </c>
    </row>
    <row r="145" spans="1:8" x14ac:dyDescent="0.25">
      <c r="A145">
        <f>IF($D145="","","TXN-"&amp;TEXT(ROW()-3,"0000"))</f>
      </c>
      <c r="E145">
        <f>IF($D145="","",IFERROR(VLOOKUP($D145,Products!$A:$C,2,FALSE),""))</f>
      </c>
      <c r="F145" s="4"/>
      <c r="G145" s="5">
        <f>IF($D145="","",IFERROR(VLOOKUP($D145,Products!$A:$C,3,FALSE),""))</f>
      </c>
      <c r="H145" s="5">
        <f>IF(OR($D145="",$F145=""),"",$F145*$G145)</f>
      </c>
    </row>
    <row r="146" spans="1:8" x14ac:dyDescent="0.25">
      <c r="A146">
        <f>IF($D146="","","TXN-"&amp;TEXT(ROW()-3,"0000"))</f>
      </c>
      <c r="E146">
        <f>IF($D146="","",IFERROR(VLOOKUP($D146,Products!$A:$C,2,FALSE),""))</f>
      </c>
      <c r="F146" s="4"/>
      <c r="G146" s="5">
        <f>IF($D146="","",IFERROR(VLOOKUP($D146,Products!$A:$C,3,FALSE),""))</f>
      </c>
      <c r="H146" s="5">
        <f>IF(OR($D146="",$F146=""),"",$F146*$G146)</f>
      </c>
    </row>
    <row r="147" spans="1:8" x14ac:dyDescent="0.25">
      <c r="A147">
        <f>IF($D147="","","TXN-"&amp;TEXT(ROW()-3,"0000"))</f>
      </c>
      <c r="E147">
        <f>IF($D147="","",IFERROR(VLOOKUP($D147,Products!$A:$C,2,FALSE),""))</f>
      </c>
      <c r="F147" s="4"/>
      <c r="G147" s="5">
        <f>IF($D147="","",IFERROR(VLOOKUP($D147,Products!$A:$C,3,FALSE),""))</f>
      </c>
      <c r="H147" s="5">
        <f>IF(OR($D147="",$F147=""),"",$F147*$G147)</f>
      </c>
    </row>
    <row r="148" spans="1:8" x14ac:dyDescent="0.25">
      <c r="A148">
        <f>IF($D148="","","TXN-"&amp;TEXT(ROW()-3,"0000"))</f>
      </c>
      <c r="E148">
        <f>IF($D148="","",IFERROR(VLOOKUP($D148,Products!$A:$C,2,FALSE),""))</f>
      </c>
      <c r="F148" s="4"/>
      <c r="G148" s="5">
        <f>IF($D148="","",IFERROR(VLOOKUP($D148,Products!$A:$C,3,FALSE),""))</f>
      </c>
      <c r="H148" s="5">
        <f>IF(OR($D148="",$F148=""),"",$F148*$G148)</f>
      </c>
    </row>
    <row r="149" spans="1:8" x14ac:dyDescent="0.25">
      <c r="A149">
        <f>IF($D149="","","TXN-"&amp;TEXT(ROW()-3,"0000"))</f>
      </c>
      <c r="E149">
        <f>IF($D149="","",IFERROR(VLOOKUP($D149,Products!$A:$C,2,FALSE),""))</f>
      </c>
      <c r="F149" s="4"/>
      <c r="G149" s="5">
        <f>IF($D149="","",IFERROR(VLOOKUP($D149,Products!$A:$C,3,FALSE),""))</f>
      </c>
      <c r="H149" s="5">
        <f>IF(OR($D149="",$F149=""),"",$F149*$G149)</f>
      </c>
    </row>
    <row r="150" spans="1:8" x14ac:dyDescent="0.25">
      <c r="A150">
        <f>IF($D150="","","TXN-"&amp;TEXT(ROW()-3,"0000"))</f>
      </c>
      <c r="E150">
        <f>IF($D150="","",IFERROR(VLOOKUP($D150,Products!$A:$C,2,FALSE),""))</f>
      </c>
      <c r="F150" s="4"/>
      <c r="G150" s="5">
        <f>IF($D150="","",IFERROR(VLOOKUP($D150,Products!$A:$C,3,FALSE),""))</f>
      </c>
      <c r="H150" s="5">
        <f>IF(OR($D150="",$F150=""),"",$F150*$G150)</f>
      </c>
    </row>
    <row r="151" spans="1:8" x14ac:dyDescent="0.25">
      <c r="A151">
        <f>IF($D151="","","TXN-"&amp;TEXT(ROW()-3,"0000"))</f>
      </c>
      <c r="E151">
        <f>IF($D151="","",IFERROR(VLOOKUP($D151,Products!$A:$C,2,FALSE),""))</f>
      </c>
      <c r="F151" s="4"/>
      <c r="G151" s="5">
        <f>IF($D151="","",IFERROR(VLOOKUP($D151,Products!$A:$C,3,FALSE),""))</f>
      </c>
      <c r="H151" s="5">
        <f>IF(OR($D151="",$F151=""),"",$F151*$G151)</f>
      </c>
    </row>
    <row r="152" spans="1:8" x14ac:dyDescent="0.25">
      <c r="A152">
        <f>IF($D152="","","TXN-"&amp;TEXT(ROW()-3,"0000"))</f>
      </c>
      <c r="E152">
        <f>IF($D152="","",IFERROR(VLOOKUP($D152,Products!$A:$C,2,FALSE),""))</f>
      </c>
      <c r="F152" s="4"/>
      <c r="G152" s="5">
        <f>IF($D152="","",IFERROR(VLOOKUP($D152,Products!$A:$C,3,FALSE),""))</f>
      </c>
      <c r="H152" s="5">
        <f>IF(OR($D152="",$F152=""),"",$F152*$G152)</f>
      </c>
    </row>
    <row r="153" spans="1:8" x14ac:dyDescent="0.25">
      <c r="A153">
        <f>IF($D153="","","TXN-"&amp;TEXT(ROW()-3,"0000"))</f>
      </c>
      <c r="E153">
        <f>IF($D153="","",IFERROR(VLOOKUP($D153,Products!$A:$C,2,FALSE),""))</f>
      </c>
      <c r="F153" s="4"/>
      <c r="G153" s="5">
        <f>IF($D153="","",IFERROR(VLOOKUP($D153,Products!$A:$C,3,FALSE),""))</f>
      </c>
      <c r="H153" s="5">
        <f>IF(OR($D153="",$F153=""),"",$F153*$G153)</f>
      </c>
    </row>
    <row r="154" spans="1:8" x14ac:dyDescent="0.25">
      <c r="A154">
        <f>IF($D154="","","TXN-"&amp;TEXT(ROW()-3,"0000"))</f>
      </c>
      <c r="E154">
        <f>IF($D154="","",IFERROR(VLOOKUP($D154,Products!$A:$C,2,FALSE),""))</f>
      </c>
      <c r="F154" s="4"/>
      <c r="G154" s="5">
        <f>IF($D154="","",IFERROR(VLOOKUP($D154,Products!$A:$C,3,FALSE),""))</f>
      </c>
      <c r="H154" s="5">
        <f>IF(OR($D154="",$F154=""),"",$F154*$G154)</f>
      </c>
    </row>
    <row r="155" spans="1:8" x14ac:dyDescent="0.25">
      <c r="A155">
        <f>IF($D155="","","TXN-"&amp;TEXT(ROW()-3,"0000"))</f>
      </c>
      <c r="E155">
        <f>IF($D155="","",IFERROR(VLOOKUP($D155,Products!$A:$C,2,FALSE),""))</f>
      </c>
      <c r="F155" s="4"/>
      <c r="G155" s="5">
        <f>IF($D155="","",IFERROR(VLOOKUP($D155,Products!$A:$C,3,FALSE),""))</f>
      </c>
      <c r="H155" s="5">
        <f>IF(OR($D155="",$F155=""),"",$F155*$G155)</f>
      </c>
    </row>
    <row r="156" spans="1:8" x14ac:dyDescent="0.25">
      <c r="A156">
        <f>IF($D156="","","TXN-"&amp;TEXT(ROW()-3,"0000"))</f>
      </c>
      <c r="E156">
        <f>IF($D156="","",IFERROR(VLOOKUP($D156,Products!$A:$C,2,FALSE),""))</f>
      </c>
      <c r="F156" s="4"/>
      <c r="G156" s="5">
        <f>IF($D156="","",IFERROR(VLOOKUP($D156,Products!$A:$C,3,FALSE),""))</f>
      </c>
      <c r="H156" s="5">
        <f>IF(OR($D156="",$F156=""),"",$F156*$G156)</f>
      </c>
    </row>
    <row r="157" spans="1:8" x14ac:dyDescent="0.25">
      <c r="A157">
        <f>IF($D157="","","TXN-"&amp;TEXT(ROW()-3,"0000"))</f>
      </c>
      <c r="E157">
        <f>IF($D157="","",IFERROR(VLOOKUP($D157,Products!$A:$C,2,FALSE),""))</f>
      </c>
      <c r="F157" s="4"/>
      <c r="G157" s="5">
        <f>IF($D157="","",IFERROR(VLOOKUP($D157,Products!$A:$C,3,FALSE),""))</f>
      </c>
      <c r="H157" s="5">
        <f>IF(OR($D157="",$F157=""),"",$F157*$G157)</f>
      </c>
    </row>
    <row r="158" spans="1:8" x14ac:dyDescent="0.25">
      <c r="A158">
        <f>IF($D158="","","TXN-"&amp;TEXT(ROW()-3,"0000"))</f>
      </c>
      <c r="E158">
        <f>IF($D158="","",IFERROR(VLOOKUP($D158,Products!$A:$C,2,FALSE),""))</f>
      </c>
      <c r="F158" s="4"/>
      <c r="G158" s="5">
        <f>IF($D158="","",IFERROR(VLOOKUP($D158,Products!$A:$C,3,FALSE),""))</f>
      </c>
      <c r="H158" s="5">
        <f>IF(OR($D158="",$F158=""),"",$F158*$G158)</f>
      </c>
    </row>
    <row r="159" spans="1:8" x14ac:dyDescent="0.25">
      <c r="A159">
        <f>IF($D159="","","TXN-"&amp;TEXT(ROW()-3,"0000"))</f>
      </c>
      <c r="E159">
        <f>IF($D159="","",IFERROR(VLOOKUP($D159,Products!$A:$C,2,FALSE),""))</f>
      </c>
      <c r="F159" s="4"/>
      <c r="G159" s="5">
        <f>IF($D159="","",IFERROR(VLOOKUP($D159,Products!$A:$C,3,FALSE),""))</f>
      </c>
      <c r="H159" s="5">
        <f>IF(OR($D159="",$F159=""),"",$F159*$G159)</f>
      </c>
    </row>
    <row r="160" spans="1:8" x14ac:dyDescent="0.25">
      <c r="A160">
        <f>IF($D160="","","TXN-"&amp;TEXT(ROW()-3,"0000"))</f>
      </c>
      <c r="E160">
        <f>IF($D160="","",IFERROR(VLOOKUP($D160,Products!$A:$C,2,FALSE),""))</f>
      </c>
      <c r="F160" s="4"/>
      <c r="G160" s="5">
        <f>IF($D160="","",IFERROR(VLOOKUP($D160,Products!$A:$C,3,FALSE),""))</f>
      </c>
      <c r="H160" s="5">
        <f>IF(OR($D160="",$F160=""),"",$F160*$G160)</f>
      </c>
    </row>
    <row r="161" spans="1:8" x14ac:dyDescent="0.25">
      <c r="A161">
        <f>IF($D161="","","TXN-"&amp;TEXT(ROW()-3,"0000"))</f>
      </c>
      <c r="E161">
        <f>IF($D161="","",IFERROR(VLOOKUP($D161,Products!$A:$C,2,FALSE),""))</f>
      </c>
      <c r="F161" s="4"/>
      <c r="G161" s="5">
        <f>IF($D161="","",IFERROR(VLOOKUP($D161,Products!$A:$C,3,FALSE),""))</f>
      </c>
      <c r="H161" s="5">
        <f>IF(OR($D161="",$F161=""),"",$F161*$G161)</f>
      </c>
    </row>
    <row r="162" spans="1:8" x14ac:dyDescent="0.25">
      <c r="A162">
        <f>IF($D162="","","TXN-"&amp;TEXT(ROW()-3,"0000"))</f>
      </c>
      <c r="E162">
        <f>IF($D162="","",IFERROR(VLOOKUP($D162,Products!$A:$C,2,FALSE),""))</f>
      </c>
      <c r="F162" s="4"/>
      <c r="G162" s="5">
        <f>IF($D162="","",IFERROR(VLOOKUP($D162,Products!$A:$C,3,FALSE),""))</f>
      </c>
      <c r="H162" s="5">
        <f>IF(OR($D162="",$F162=""),"",$F162*$G162)</f>
      </c>
    </row>
    <row r="163" spans="1:8" x14ac:dyDescent="0.25">
      <c r="A163">
        <f>IF($D163="","","TXN-"&amp;TEXT(ROW()-3,"0000"))</f>
      </c>
      <c r="E163">
        <f>IF($D163="","",IFERROR(VLOOKUP($D163,Products!$A:$C,2,FALSE),""))</f>
      </c>
      <c r="F163" s="4"/>
      <c r="G163" s="5">
        <f>IF($D163="","",IFERROR(VLOOKUP($D163,Products!$A:$C,3,FALSE),""))</f>
      </c>
      <c r="H163" s="5">
        <f>IF(OR($D163="",$F163=""),"",$F163*$G163)</f>
      </c>
    </row>
    <row r="164" spans="1:8" x14ac:dyDescent="0.25">
      <c r="A164">
        <f>IF($D164="","","TXN-"&amp;TEXT(ROW()-3,"0000"))</f>
      </c>
      <c r="E164">
        <f>IF($D164="","",IFERROR(VLOOKUP($D164,Products!$A:$C,2,FALSE),""))</f>
      </c>
      <c r="F164" s="4"/>
      <c r="G164" s="5">
        <f>IF($D164="","",IFERROR(VLOOKUP($D164,Products!$A:$C,3,FALSE),""))</f>
      </c>
      <c r="H164" s="5">
        <f>IF(OR($D164="",$F164=""),"",$F164*$G164)</f>
      </c>
    </row>
    <row r="165" spans="1:8" x14ac:dyDescent="0.25">
      <c r="A165">
        <f>IF($D165="","","TXN-"&amp;TEXT(ROW()-3,"0000"))</f>
      </c>
      <c r="E165">
        <f>IF($D165="","",IFERROR(VLOOKUP($D165,Products!$A:$C,2,FALSE),""))</f>
      </c>
      <c r="F165" s="4"/>
      <c r="G165" s="5">
        <f>IF($D165="","",IFERROR(VLOOKUP($D165,Products!$A:$C,3,FALSE),""))</f>
      </c>
      <c r="H165" s="5">
        <f>IF(OR($D165="",$F165=""),"",$F165*$G165)</f>
      </c>
    </row>
    <row r="166" spans="1:8" x14ac:dyDescent="0.25">
      <c r="A166">
        <f>IF($D166="","","TXN-"&amp;TEXT(ROW()-3,"0000"))</f>
      </c>
      <c r="E166">
        <f>IF($D166="","",IFERROR(VLOOKUP($D166,Products!$A:$C,2,FALSE),""))</f>
      </c>
      <c r="F166" s="4"/>
      <c r="G166" s="5">
        <f>IF($D166="","",IFERROR(VLOOKUP($D166,Products!$A:$C,3,FALSE),""))</f>
      </c>
      <c r="H166" s="5">
        <f>IF(OR($D166="",$F166=""),"",$F166*$G166)</f>
      </c>
    </row>
    <row r="167" spans="1:8" x14ac:dyDescent="0.25">
      <c r="A167">
        <f>IF($D167="","","TXN-"&amp;TEXT(ROW()-3,"0000"))</f>
      </c>
      <c r="E167">
        <f>IF($D167="","",IFERROR(VLOOKUP($D167,Products!$A:$C,2,FALSE),""))</f>
      </c>
      <c r="F167" s="4"/>
      <c r="G167" s="5">
        <f>IF($D167="","",IFERROR(VLOOKUP($D167,Products!$A:$C,3,FALSE),""))</f>
      </c>
      <c r="H167" s="5">
        <f>IF(OR($D167="",$F167=""),"",$F167*$G167)</f>
      </c>
    </row>
    <row r="168" spans="1:8" x14ac:dyDescent="0.25">
      <c r="A168">
        <f>IF($D168="","","TXN-"&amp;TEXT(ROW()-3,"0000"))</f>
      </c>
      <c r="E168">
        <f>IF($D168="","",IFERROR(VLOOKUP($D168,Products!$A:$C,2,FALSE),""))</f>
      </c>
      <c r="F168" s="4"/>
      <c r="G168" s="5">
        <f>IF($D168="","",IFERROR(VLOOKUP($D168,Products!$A:$C,3,FALSE),""))</f>
      </c>
      <c r="H168" s="5">
        <f>IF(OR($D168="",$F168=""),"",$F168*$G168)</f>
      </c>
    </row>
    <row r="169" spans="1:8" x14ac:dyDescent="0.25">
      <c r="A169">
        <f>IF($D169="","","TXN-"&amp;TEXT(ROW()-3,"0000"))</f>
      </c>
      <c r="E169">
        <f>IF($D169="","",IFERROR(VLOOKUP($D169,Products!$A:$C,2,FALSE),""))</f>
      </c>
      <c r="F169" s="4"/>
      <c r="G169" s="5">
        <f>IF($D169="","",IFERROR(VLOOKUP($D169,Products!$A:$C,3,FALSE),""))</f>
      </c>
      <c r="H169" s="5">
        <f>IF(OR($D169="",$F169=""),"",$F169*$G169)</f>
      </c>
    </row>
    <row r="170" spans="1:8" x14ac:dyDescent="0.25">
      <c r="A170">
        <f>IF($D170="","","TXN-"&amp;TEXT(ROW()-3,"0000"))</f>
      </c>
      <c r="E170">
        <f>IF($D170="","",IFERROR(VLOOKUP($D170,Products!$A:$C,2,FALSE),""))</f>
      </c>
      <c r="F170" s="4"/>
      <c r="G170" s="5">
        <f>IF($D170="","",IFERROR(VLOOKUP($D170,Products!$A:$C,3,FALSE),""))</f>
      </c>
      <c r="H170" s="5">
        <f>IF(OR($D170="",$F170=""),"",$F170*$G170)</f>
      </c>
    </row>
    <row r="171" spans="1:8" x14ac:dyDescent="0.25">
      <c r="A171">
        <f>IF($D171="","","TXN-"&amp;TEXT(ROW()-3,"0000"))</f>
      </c>
      <c r="E171">
        <f>IF($D171="","",IFERROR(VLOOKUP($D171,Products!$A:$C,2,FALSE),""))</f>
      </c>
      <c r="F171" s="4"/>
      <c r="G171" s="5">
        <f>IF($D171="","",IFERROR(VLOOKUP($D171,Products!$A:$C,3,FALSE),""))</f>
      </c>
      <c r="H171" s="5">
        <f>IF(OR($D171="",$F171=""),"",$F171*$G171)</f>
      </c>
    </row>
    <row r="172" spans="1:8" x14ac:dyDescent="0.25">
      <c r="A172">
        <f>IF($D172="","","TXN-"&amp;TEXT(ROW()-3,"0000"))</f>
      </c>
      <c r="E172">
        <f>IF($D172="","",IFERROR(VLOOKUP($D172,Products!$A:$C,2,FALSE),""))</f>
      </c>
      <c r="F172" s="4"/>
      <c r="G172" s="5">
        <f>IF($D172="","",IFERROR(VLOOKUP($D172,Products!$A:$C,3,FALSE),""))</f>
      </c>
      <c r="H172" s="5">
        <f>IF(OR($D172="",$F172=""),"",$F172*$G172)</f>
      </c>
    </row>
    <row r="173" spans="1:8" x14ac:dyDescent="0.25">
      <c r="A173">
        <f>IF($D173="","","TXN-"&amp;TEXT(ROW()-3,"0000"))</f>
      </c>
      <c r="E173">
        <f>IF($D173="","",IFERROR(VLOOKUP($D173,Products!$A:$C,2,FALSE),""))</f>
      </c>
      <c r="F173" s="4"/>
      <c r="G173" s="5">
        <f>IF($D173="","",IFERROR(VLOOKUP($D173,Products!$A:$C,3,FALSE),""))</f>
      </c>
      <c r="H173" s="5">
        <f>IF(OR($D173="",$F173=""),"",$F173*$G173)</f>
      </c>
    </row>
    <row r="174" spans="1:8" x14ac:dyDescent="0.25">
      <c r="A174">
        <f>IF($D174="","","TXN-"&amp;TEXT(ROW()-3,"0000"))</f>
      </c>
      <c r="E174">
        <f>IF($D174="","",IFERROR(VLOOKUP($D174,Products!$A:$C,2,FALSE),""))</f>
      </c>
      <c r="F174" s="4"/>
      <c r="G174" s="5">
        <f>IF($D174="","",IFERROR(VLOOKUP($D174,Products!$A:$C,3,FALSE),""))</f>
      </c>
      <c r="H174" s="5">
        <f>IF(OR($D174="",$F174=""),"",$F174*$G174)</f>
      </c>
    </row>
    <row r="175" spans="1:8" x14ac:dyDescent="0.25">
      <c r="A175">
        <f>IF($D175="","","TXN-"&amp;TEXT(ROW()-3,"0000"))</f>
      </c>
      <c r="E175">
        <f>IF($D175="","",IFERROR(VLOOKUP($D175,Products!$A:$C,2,FALSE),""))</f>
      </c>
      <c r="F175" s="4"/>
      <c r="G175" s="5">
        <f>IF($D175="","",IFERROR(VLOOKUP($D175,Products!$A:$C,3,FALSE),""))</f>
      </c>
      <c r="H175" s="5">
        <f>IF(OR($D175="",$F175=""),"",$F175*$G175)</f>
      </c>
    </row>
    <row r="176" spans="1:8" x14ac:dyDescent="0.25">
      <c r="A176">
        <f>IF($D176="","","TXN-"&amp;TEXT(ROW()-3,"0000"))</f>
      </c>
      <c r="E176">
        <f>IF($D176="","",IFERROR(VLOOKUP($D176,Products!$A:$C,2,FALSE),""))</f>
      </c>
      <c r="F176" s="4"/>
      <c r="G176" s="5">
        <f>IF($D176="","",IFERROR(VLOOKUP($D176,Products!$A:$C,3,FALSE),""))</f>
      </c>
      <c r="H176" s="5">
        <f>IF(OR($D176="",$F176=""),"",$F176*$G176)</f>
      </c>
    </row>
    <row r="177" spans="1:8" x14ac:dyDescent="0.25">
      <c r="A177">
        <f>IF($D177="","","TXN-"&amp;TEXT(ROW()-3,"0000"))</f>
      </c>
      <c r="E177">
        <f>IF($D177="","",IFERROR(VLOOKUP($D177,Products!$A:$C,2,FALSE),""))</f>
      </c>
      <c r="F177" s="4"/>
      <c r="G177" s="5">
        <f>IF($D177="","",IFERROR(VLOOKUP($D177,Products!$A:$C,3,FALSE),""))</f>
      </c>
      <c r="H177" s="5">
        <f>IF(OR($D177="",$F177=""),"",$F177*$G177)</f>
      </c>
    </row>
    <row r="178" spans="1:8" x14ac:dyDescent="0.25">
      <c r="A178">
        <f>IF($D178="","","TXN-"&amp;TEXT(ROW()-3,"0000"))</f>
      </c>
      <c r="E178">
        <f>IF($D178="","",IFERROR(VLOOKUP($D178,Products!$A:$C,2,FALSE),""))</f>
      </c>
      <c r="F178" s="4"/>
      <c r="G178" s="5">
        <f>IF($D178="","",IFERROR(VLOOKUP($D178,Products!$A:$C,3,FALSE),""))</f>
      </c>
      <c r="H178" s="5">
        <f>IF(OR($D178="",$F178=""),"",$F178*$G178)</f>
      </c>
    </row>
    <row r="179" spans="1:8" x14ac:dyDescent="0.25">
      <c r="A179">
        <f>IF($D179="","","TXN-"&amp;TEXT(ROW()-3,"0000"))</f>
      </c>
      <c r="E179">
        <f>IF($D179="","",IFERROR(VLOOKUP($D179,Products!$A:$C,2,FALSE),""))</f>
      </c>
      <c r="F179" s="4"/>
      <c r="G179" s="5">
        <f>IF($D179="","",IFERROR(VLOOKUP($D179,Products!$A:$C,3,FALSE),""))</f>
      </c>
      <c r="H179" s="5">
        <f>IF(OR($D179="",$F179=""),"",$F179*$G179)</f>
      </c>
    </row>
    <row r="180" spans="1:8" x14ac:dyDescent="0.25">
      <c r="A180">
        <f>IF($D180="","","TXN-"&amp;TEXT(ROW()-3,"0000"))</f>
      </c>
      <c r="E180">
        <f>IF($D180="","",IFERROR(VLOOKUP($D180,Products!$A:$C,2,FALSE),""))</f>
      </c>
      <c r="F180" s="4"/>
      <c r="G180" s="5">
        <f>IF($D180="","",IFERROR(VLOOKUP($D180,Products!$A:$C,3,FALSE),""))</f>
      </c>
      <c r="H180" s="5">
        <f>IF(OR($D180="",$F180=""),"",$F180*$G180)</f>
      </c>
    </row>
    <row r="181" spans="1:8" x14ac:dyDescent="0.25">
      <c r="A181">
        <f>IF($D181="","","TXN-"&amp;TEXT(ROW()-3,"0000"))</f>
      </c>
      <c r="E181">
        <f>IF($D181="","",IFERROR(VLOOKUP($D181,Products!$A:$C,2,FALSE),""))</f>
      </c>
      <c r="F181" s="4"/>
      <c r="G181" s="5">
        <f>IF($D181="","",IFERROR(VLOOKUP($D181,Products!$A:$C,3,FALSE),""))</f>
      </c>
      <c r="H181" s="5">
        <f>IF(OR($D181="",$F181=""),"",$F181*$G181)</f>
      </c>
    </row>
    <row r="182" spans="1:8" x14ac:dyDescent="0.25">
      <c r="A182">
        <f>IF($D182="","","TXN-"&amp;TEXT(ROW()-3,"0000"))</f>
      </c>
      <c r="E182">
        <f>IF($D182="","",IFERROR(VLOOKUP($D182,Products!$A:$C,2,FALSE),""))</f>
      </c>
      <c r="F182" s="4"/>
      <c r="G182" s="5">
        <f>IF($D182="","",IFERROR(VLOOKUP($D182,Products!$A:$C,3,FALSE),""))</f>
      </c>
      <c r="H182" s="5">
        <f>IF(OR($D182="",$F182=""),"",$F182*$G182)</f>
      </c>
    </row>
    <row r="183" spans="1:8" x14ac:dyDescent="0.25">
      <c r="A183">
        <f>IF($D183="","","TXN-"&amp;TEXT(ROW()-3,"0000"))</f>
      </c>
      <c r="E183">
        <f>IF($D183="","",IFERROR(VLOOKUP($D183,Products!$A:$C,2,FALSE),""))</f>
      </c>
      <c r="F183" s="4"/>
      <c r="G183" s="5">
        <f>IF($D183="","",IFERROR(VLOOKUP($D183,Products!$A:$C,3,FALSE),""))</f>
      </c>
      <c r="H183" s="5">
        <f>IF(OR($D183="",$F183=""),"",$F183*$G183)</f>
      </c>
    </row>
    <row r="184" spans="1:8" x14ac:dyDescent="0.25">
      <c r="A184">
        <f>IF($D184="","","TXN-"&amp;TEXT(ROW()-3,"0000"))</f>
      </c>
      <c r="E184">
        <f>IF($D184="","",IFERROR(VLOOKUP($D184,Products!$A:$C,2,FALSE),""))</f>
      </c>
      <c r="F184" s="4"/>
      <c r="G184" s="5">
        <f>IF($D184="","",IFERROR(VLOOKUP($D184,Products!$A:$C,3,FALSE),""))</f>
      </c>
      <c r="H184" s="5">
        <f>IF(OR($D184="",$F184=""),"",$F184*$G184)</f>
      </c>
    </row>
    <row r="185" spans="1:8" x14ac:dyDescent="0.25">
      <c r="A185">
        <f>IF($D185="","","TXN-"&amp;TEXT(ROW()-3,"0000"))</f>
      </c>
      <c r="E185">
        <f>IF($D185="","",IFERROR(VLOOKUP($D185,Products!$A:$C,2,FALSE),""))</f>
      </c>
      <c r="F185" s="4"/>
      <c r="G185" s="5">
        <f>IF($D185="","",IFERROR(VLOOKUP($D185,Products!$A:$C,3,FALSE),""))</f>
      </c>
      <c r="H185" s="5">
        <f>IF(OR($D185="",$F185=""),"",$F185*$G185)</f>
      </c>
    </row>
    <row r="186" spans="1:8" x14ac:dyDescent="0.25">
      <c r="A186">
        <f>IF($D186="","","TXN-"&amp;TEXT(ROW()-3,"0000"))</f>
      </c>
      <c r="E186">
        <f>IF($D186="","",IFERROR(VLOOKUP($D186,Products!$A:$C,2,FALSE),""))</f>
      </c>
      <c r="F186" s="4"/>
      <c r="G186" s="5">
        <f>IF($D186="","",IFERROR(VLOOKUP($D186,Products!$A:$C,3,FALSE),""))</f>
      </c>
      <c r="H186" s="5">
        <f>IF(OR($D186="",$F186=""),"",$F186*$G186)</f>
      </c>
    </row>
    <row r="187" spans="1:8" x14ac:dyDescent="0.25">
      <c r="A187">
        <f>IF($D187="","","TXN-"&amp;TEXT(ROW()-3,"0000"))</f>
      </c>
      <c r="E187">
        <f>IF($D187="","",IFERROR(VLOOKUP($D187,Products!$A:$C,2,FALSE),""))</f>
      </c>
      <c r="F187" s="4"/>
      <c r="G187" s="5">
        <f>IF($D187="","",IFERROR(VLOOKUP($D187,Products!$A:$C,3,FALSE),""))</f>
      </c>
      <c r="H187" s="5">
        <f>IF(OR($D187="",$F187=""),"",$F187*$G187)</f>
      </c>
    </row>
    <row r="188" spans="1:8" x14ac:dyDescent="0.25">
      <c r="A188">
        <f>IF($D188="","","TXN-"&amp;TEXT(ROW()-3,"0000"))</f>
      </c>
      <c r="E188">
        <f>IF($D188="","",IFERROR(VLOOKUP($D188,Products!$A:$C,2,FALSE),""))</f>
      </c>
      <c r="F188" s="4"/>
      <c r="G188" s="5">
        <f>IF($D188="","",IFERROR(VLOOKUP($D188,Products!$A:$C,3,FALSE),""))</f>
      </c>
      <c r="H188" s="5">
        <f>IF(OR($D188="",$F188=""),"",$F188*$G188)</f>
      </c>
    </row>
    <row r="189" spans="1:8" x14ac:dyDescent="0.25">
      <c r="A189">
        <f>IF($D189="","","TXN-"&amp;TEXT(ROW()-3,"0000"))</f>
      </c>
      <c r="E189">
        <f>IF($D189="","",IFERROR(VLOOKUP($D189,Products!$A:$C,2,FALSE),""))</f>
      </c>
      <c r="F189" s="4"/>
      <c r="G189" s="5">
        <f>IF($D189="","",IFERROR(VLOOKUP($D189,Products!$A:$C,3,FALSE),""))</f>
      </c>
      <c r="H189" s="5">
        <f>IF(OR($D189="",$F189=""),"",$F189*$G189)</f>
      </c>
    </row>
    <row r="190" spans="1:8" x14ac:dyDescent="0.25">
      <c r="A190">
        <f>IF($D190="","","TXN-"&amp;TEXT(ROW()-3,"0000"))</f>
      </c>
      <c r="E190">
        <f>IF($D190="","",IFERROR(VLOOKUP($D190,Products!$A:$C,2,FALSE),""))</f>
      </c>
      <c r="F190" s="4"/>
      <c r="G190" s="5">
        <f>IF($D190="","",IFERROR(VLOOKUP($D190,Products!$A:$C,3,FALSE),""))</f>
      </c>
      <c r="H190" s="5">
        <f>IF(OR($D190="",$F190=""),"",$F190*$G190)</f>
      </c>
    </row>
    <row r="191" spans="1:8" x14ac:dyDescent="0.25">
      <c r="A191">
        <f>IF($D191="","","TXN-"&amp;TEXT(ROW()-3,"0000"))</f>
      </c>
      <c r="E191">
        <f>IF($D191="","",IFERROR(VLOOKUP($D191,Products!$A:$C,2,FALSE),""))</f>
      </c>
      <c r="F191" s="4"/>
      <c r="G191" s="5">
        <f>IF($D191="","",IFERROR(VLOOKUP($D191,Products!$A:$C,3,FALSE),""))</f>
      </c>
      <c r="H191" s="5">
        <f>IF(OR($D191="",$F191=""),"",$F191*$G191)</f>
      </c>
    </row>
    <row r="192" spans="1:8" x14ac:dyDescent="0.25">
      <c r="A192">
        <f>IF($D192="","","TXN-"&amp;TEXT(ROW()-3,"0000"))</f>
      </c>
      <c r="E192">
        <f>IF($D192="","",IFERROR(VLOOKUP($D192,Products!$A:$C,2,FALSE),""))</f>
      </c>
      <c r="F192" s="4"/>
      <c r="G192" s="5">
        <f>IF($D192="","",IFERROR(VLOOKUP($D192,Products!$A:$C,3,FALSE),""))</f>
      </c>
      <c r="H192" s="5">
        <f>IF(OR($D192="",$F192=""),"",$F192*$G192)</f>
      </c>
    </row>
    <row r="193" spans="1:8" x14ac:dyDescent="0.25">
      <c r="A193">
        <f>IF($D193="","","TXN-"&amp;TEXT(ROW()-3,"0000"))</f>
      </c>
      <c r="E193">
        <f>IF($D193="","",IFERROR(VLOOKUP($D193,Products!$A:$C,2,FALSE),""))</f>
      </c>
      <c r="F193" s="4"/>
      <c r="G193" s="5">
        <f>IF($D193="","",IFERROR(VLOOKUP($D193,Products!$A:$C,3,FALSE),""))</f>
      </c>
      <c r="H193" s="5">
        <f>IF(OR($D193="",$F193=""),"",$F193*$G193)</f>
      </c>
    </row>
    <row r="194" spans="1:8" x14ac:dyDescent="0.25">
      <c r="A194">
        <f>IF($D194="","","TXN-"&amp;TEXT(ROW()-3,"0000"))</f>
      </c>
      <c r="E194">
        <f>IF($D194="","",IFERROR(VLOOKUP($D194,Products!$A:$C,2,FALSE),""))</f>
      </c>
      <c r="F194" s="4"/>
      <c r="G194" s="5">
        <f>IF($D194="","",IFERROR(VLOOKUP($D194,Products!$A:$C,3,FALSE),""))</f>
      </c>
      <c r="H194" s="5">
        <f>IF(OR($D194="",$F194=""),"",$F194*$G194)</f>
      </c>
    </row>
    <row r="195" spans="1:8" x14ac:dyDescent="0.25">
      <c r="A195">
        <f>IF($D195="","","TXN-"&amp;TEXT(ROW()-3,"0000"))</f>
      </c>
      <c r="E195">
        <f>IF($D195="","",IFERROR(VLOOKUP($D195,Products!$A:$C,2,FALSE),""))</f>
      </c>
      <c r="F195" s="4"/>
      <c r="G195" s="5">
        <f>IF($D195="","",IFERROR(VLOOKUP($D195,Products!$A:$C,3,FALSE),""))</f>
      </c>
      <c r="H195" s="5">
        <f>IF(OR($D195="",$F195=""),"",$F195*$G195)</f>
      </c>
    </row>
    <row r="196" spans="1:8" x14ac:dyDescent="0.25">
      <c r="A196">
        <f>IF($D196="","","TXN-"&amp;TEXT(ROW()-3,"0000"))</f>
      </c>
      <c r="E196">
        <f>IF($D196="","",IFERROR(VLOOKUP($D196,Products!$A:$C,2,FALSE),""))</f>
      </c>
      <c r="F196" s="4"/>
      <c r="G196" s="5">
        <f>IF($D196="","",IFERROR(VLOOKUP($D196,Products!$A:$C,3,FALSE),""))</f>
      </c>
      <c r="H196" s="5">
        <f>IF(OR($D196="",$F196=""),"",$F196*$G196)</f>
      </c>
    </row>
    <row r="197" spans="1:8" x14ac:dyDescent="0.25">
      <c r="A197">
        <f>IF($D197="","","TXN-"&amp;TEXT(ROW()-3,"0000"))</f>
      </c>
      <c r="E197">
        <f>IF($D197="","",IFERROR(VLOOKUP($D197,Products!$A:$C,2,FALSE),""))</f>
      </c>
      <c r="F197" s="4"/>
      <c r="G197" s="5">
        <f>IF($D197="","",IFERROR(VLOOKUP($D197,Products!$A:$C,3,FALSE),""))</f>
      </c>
      <c r="H197" s="5">
        <f>IF(OR($D197="",$F197=""),"",$F197*$G197)</f>
      </c>
    </row>
    <row r="198" spans="1:8" x14ac:dyDescent="0.25">
      <c r="A198">
        <f>IF($D198="","","TXN-"&amp;TEXT(ROW()-3,"0000"))</f>
      </c>
      <c r="E198">
        <f>IF($D198="","",IFERROR(VLOOKUP($D198,Products!$A:$C,2,FALSE),""))</f>
      </c>
      <c r="F198" s="4"/>
      <c r="G198" s="5">
        <f>IF($D198="","",IFERROR(VLOOKUP($D198,Products!$A:$C,3,FALSE),""))</f>
      </c>
      <c r="H198" s="5">
        <f>IF(OR($D198="",$F198=""),"",$F198*$G198)</f>
      </c>
    </row>
    <row r="199" spans="1:8" x14ac:dyDescent="0.25">
      <c r="A199">
        <f>IF($D199="","","TXN-"&amp;TEXT(ROW()-3,"0000"))</f>
      </c>
      <c r="E199">
        <f>IF($D199="","",IFERROR(VLOOKUP($D199,Products!$A:$C,2,FALSE),""))</f>
      </c>
      <c r="F199" s="4"/>
      <c r="G199" s="5">
        <f>IF($D199="","",IFERROR(VLOOKUP($D199,Products!$A:$C,3,FALSE),""))</f>
      </c>
      <c r="H199" s="5">
        <f>IF(OR($D199="",$F199=""),"",$F199*$G199)</f>
      </c>
    </row>
    <row r="200" spans="1:8" x14ac:dyDescent="0.25">
      <c r="A200">
        <f>IF($D200="","","TXN-"&amp;TEXT(ROW()-3,"0000"))</f>
      </c>
      <c r="E200">
        <f>IF($D200="","",IFERROR(VLOOKUP($D200,Products!$A:$C,2,FALSE),""))</f>
      </c>
      <c r="F200" s="4"/>
      <c r="G200" s="5">
        <f>IF($D200="","",IFERROR(VLOOKUP($D200,Products!$A:$C,3,FALSE),""))</f>
      </c>
      <c r="H200" s="5">
        <f>IF(OR($D200="",$F200=""),"",$F200*$G200)</f>
      </c>
    </row>
    <row r="201" spans="1:8" x14ac:dyDescent="0.25">
      <c r="A201">
        <f>IF($D201="","","TXN-"&amp;TEXT(ROW()-3,"0000"))</f>
      </c>
      <c r="E201">
        <f>IF($D201="","",IFERROR(VLOOKUP($D201,Products!$A:$C,2,FALSE),""))</f>
      </c>
      <c r="F201" s="4"/>
      <c r="G201" s="5">
        <f>IF($D201="","",IFERROR(VLOOKUP($D201,Products!$A:$C,3,FALSE),""))</f>
      </c>
      <c r="H201" s="5">
        <f>IF(OR($D201="",$F201=""),"",$F201*$G201)</f>
      </c>
    </row>
    <row r="202" spans="1:8" x14ac:dyDescent="0.25">
      <c r="A202">
        <f>IF($D202="","","TXN-"&amp;TEXT(ROW()-3,"0000"))</f>
      </c>
      <c r="E202">
        <f>IF($D202="","",IFERROR(VLOOKUP($D202,Products!$A:$C,2,FALSE),""))</f>
      </c>
      <c r="F202" s="4"/>
      <c r="G202" s="5">
        <f>IF($D202="","",IFERROR(VLOOKUP($D202,Products!$A:$C,3,FALSE),""))</f>
      </c>
      <c r="H202" s="5">
        <f>IF(OR($D202="",$F202=""),"",$F202*$G202)</f>
      </c>
    </row>
    <row r="203" spans="1:8" x14ac:dyDescent="0.25">
      <c r="A203">
        <f>IF($D203="","","TXN-"&amp;TEXT(ROW()-3,"0000"))</f>
      </c>
      <c r="E203">
        <f>IF($D203="","",IFERROR(VLOOKUP($D203,Products!$A:$C,2,FALSE),""))</f>
      </c>
      <c r="F203" s="4"/>
      <c r="G203" s="5">
        <f>IF($D203="","",IFERROR(VLOOKUP($D203,Products!$A:$C,3,FALSE),""))</f>
      </c>
      <c r="H203" s="5">
        <f>IF(OR($D203="",$F203=""),"",$F203*$G203)</f>
      </c>
    </row>
    <row r="204" spans="5:8" x14ac:dyDescent="0.25">
      <c r="E204" s="6" t="s">
        <v>19</v>
      </c>
      <c r="F204" s="7">
        <f>SUM(F4:F203)</f>
      </c>
      <c r="H204" s="8">
        <f>SUM(H4:H203)</f>
      </c>
    </row>
  </sheetData>
  <mergeCells count="2">
    <mergeCell ref="A1:H1"/>
    <mergeCell ref="A2:H2"/>
  </mergeCells>
  <dataValidations count="4">
    <dataValidation type="list" allowBlank="1" showErrorMessage="1" errorStyle="warning" errorTitle="Unknown item" error="Pick an item from the list so it matches your menu exactly." sqref="D10:D203">
      <formula1>=Products!$A$2:$A$9</formula1>
    </dataValidation>
    <dataValidation type="list" allowBlank="1" showErrorMessage="1" errorStyle="warning" errorTitle="Unknown item" error="Pick an item from the list so it matches your menu exactly." sqref="D4:D203">
      <formula1>=Products!$A$2:$A$9</formula1>
    </dataValidation>
    <dataValidation type="whole" operator="greaterThanOrEqual" allowBlank="1" showErrorMessage="1" errorStyle="stop" errorTitle="Invalid quantity" error="Quantity must be a whole number of 1 or more." sqref="F10:F203">
      <formula1>1</formula1>
    </dataValidation>
    <dataValidation type="whole" operator="greaterThanOrEqual" allowBlank="1" showErrorMessage="1" errorStyle="stop" errorTitle="Invalid quantity" error="Quantity must be a whole number of 1 or more." sqref="F4:F203">
      <formula1>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40" customWidth="1"/>
    <col min="2" max="2" width="20" customWidth="1"/>
  </cols>
  <sheetData>
    <row r="1" spans="1:3" x14ac:dyDescent="0.25">
      <c r="A1" t="s">
        <v>20</v>
      </c>
      <c r="B1" t="s">
        <v>6</v>
      </c>
      <c r="C1" t="s">
        <v>21</v>
      </c>
    </row>
    <row r="2" spans="1:3" x14ac:dyDescent="0.25">
      <c r="A2" t="s">
        <v>12</v>
      </c>
      <c r="B2" t="s">
        <v>22</v>
      </c>
      <c r="C2">
        <v>160</v>
      </c>
    </row>
    <row r="3" spans="1:3" x14ac:dyDescent="0.25">
      <c r="A3" t="s">
        <v>18</v>
      </c>
      <c r="B3" t="s">
        <v>22</v>
      </c>
      <c r="C3">
        <v>175</v>
      </c>
    </row>
    <row r="4" spans="1:3" x14ac:dyDescent="0.25">
      <c r="A4" t="s">
        <v>23</v>
      </c>
      <c r="B4" t="s">
        <v>22</v>
      </c>
      <c r="C4">
        <v>210</v>
      </c>
    </row>
    <row r="5" spans="1:3" x14ac:dyDescent="0.25">
      <c r="A5" t="s">
        <v>14</v>
      </c>
      <c r="B5" t="s">
        <v>24</v>
      </c>
      <c r="C5">
        <v>165</v>
      </c>
    </row>
    <row r="6" spans="1:3" x14ac:dyDescent="0.25">
      <c r="A6" t="s">
        <v>25</v>
      </c>
      <c r="B6" t="s">
        <v>26</v>
      </c>
      <c r="C6">
        <v>220</v>
      </c>
    </row>
    <row r="7" spans="1:3" x14ac:dyDescent="0.25">
      <c r="A7" t="s">
        <v>16</v>
      </c>
      <c r="B7" t="s">
        <v>27</v>
      </c>
      <c r="C7">
        <v>195</v>
      </c>
    </row>
    <row r="8" spans="1:3" x14ac:dyDescent="0.25">
      <c r="A8" t="s">
        <v>28</v>
      </c>
      <c r="B8" t="s">
        <v>29</v>
      </c>
      <c r="C8">
        <v>315</v>
      </c>
    </row>
    <row r="9" spans="1:3" x14ac:dyDescent="0.25">
      <c r="A9" t="s">
        <v>30</v>
      </c>
      <c r="B9" t="s">
        <v>31</v>
      </c>
      <c r="C9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2026-07-28T08:38:49Z</dcterms:created>
  <dcterms:modified xsi:type="dcterms:W3CDTF">2026-07-28T08:38:49Z</dcterms:modified>
</cp:coreProperties>
</file>